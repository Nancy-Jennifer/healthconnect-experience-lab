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Nancy" algorithmName="SHA-512" hashValue="brKnNor6MIk0ZWiYgKS6HDAjQcFLYoO0pwnnnyhKcGq+KfLglg60Q9jk2ZaUAT1fcmnsrPe8ghHB7xvmg0zCqA==" saltValue="eKsm4x2O6PcmHhXs1aVMPw==" spinCount="100000"/>
  <workbookPr/>
  <mc:AlternateContent xmlns:mc="http://schemas.openxmlformats.org/markup-compatibility/2006">
    <mc:Choice Requires="x15">
      <x15ac:absPath xmlns:x15ac="http://schemas.microsoft.com/office/spreadsheetml/2010/11/ac" url="https://d.docs.live.net/8a1b71f57ff34a52/מסמכים/ELEMENTS BUREAU 2026/PORTEFEUILLE DATA ANALYST/ANALYSTLAB INTERNSHIP/WK_7/LIVRABLES/"/>
    </mc:Choice>
  </mc:AlternateContent>
  <xr:revisionPtr revIDLastSave="0" documentId="14_{0A8A8C20-233B-4C0D-BC12-278AC8C08E6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Register" sheetId="1" r:id="rId1"/>
    <sheet name="Evidence Register" sheetId="2" r:id="rId2"/>
    <sheet name="Cross-Track Validation" sheetId="3" r:id="rId3"/>
    <sheet name="Week 8 Readiness" sheetId="4" r:id="rId4"/>
    <sheet name="Read Me" sheetId="5" r:id="rId5"/>
    <sheet name="Evidence Pack Index" sheetId="6" r:id="rId6"/>
    <sheet name="Calculation Evidence" sheetId="7" r:id="rId7"/>
    <sheet name="Dashboard Evidence" sheetId="8" r:id="rId8"/>
    <sheet name="Before-After Evidence" sheetId="9" r:id="rId9"/>
    <sheet name="GitHub Evidence" sheetId="10" r:id="rId10"/>
  </sheets>
  <calcPr calcId="0"/>
</workbook>
</file>

<file path=xl/sharedStrings.xml><?xml version="1.0" encoding="utf-8"?>
<sst xmlns="http://schemas.openxmlformats.org/spreadsheetml/2006/main" count="926" uniqueCount="659">
  <si>
    <t>WEEK 7 — HEALTHCONNECT TESTING &amp; VALIDATION RECORD</t>
  </si>
  <si>
    <t>Data Analytics | Working SSOT | Nancy Lee YIMBERE ALAPINI | Performance &amp; Decision Intelligence Analyst</t>
  </si>
  <si>
    <t>Test ID</t>
  </si>
  <si>
    <t>Priority</t>
  </si>
  <si>
    <t>Test Type</t>
  </si>
  <si>
    <t>Component Tested</t>
  </si>
  <si>
    <t>Testing Objective</t>
  </si>
  <si>
    <t>Test / Scenario</t>
  </si>
  <si>
    <t>Expected Result</t>
  </si>
  <si>
    <t>Acceptance Criterion</t>
  </si>
  <si>
    <t>Actual Result</t>
  </si>
  <si>
    <t>Pass / Fail</t>
  </si>
  <si>
    <t>Issue Identified</t>
  </si>
  <si>
    <t>Action Taken</t>
  </si>
  <si>
    <t>Retest Result</t>
  </si>
  <si>
    <t>Collaborating Track</t>
  </si>
  <si>
    <t>Evidence</t>
  </si>
  <si>
    <t>Final Validation Status</t>
  </si>
  <si>
    <t>T01</t>
  </si>
  <si>
    <t>P1</t>
  </si>
  <si>
    <t>KPI Accuracy</t>
  </si>
  <si>
    <t>No-Show Rate</t>
  </si>
  <si>
    <t>Verify that the Week 6 No-Show Rate is reproducible from the validated attendance-observable population and agrees with Power BI.</t>
  </si>
  <si>
    <t>Independently calculate No-Shows / (No-Shows + Attended), excluding Cancelled appointments.</t>
  </si>
  <si>
    <t>No-Shows = 2,423; attendance-observable N = 4,737; NSR = 51.15%.</t>
  </si>
  <si>
    <t>Correct population, numerator and denominator; recalculated NSR = 51.15% after rounding; Power BI agrees.</t>
  </si>
  <si>
    <t>No-Shows = 2,423; attendance-observable N = 4,737; recalculated NSR = 51.15%; Power BI reconciled.</t>
  </si>
  <si>
    <t>PASS</t>
  </si>
  <si>
    <t>None</t>
  </si>
  <si>
    <t>No corrective action required.</t>
  </si>
  <si>
    <t>Not required — initial validation passed.</t>
  </si>
  <si>
    <t>N/A</t>
  </si>
  <si>
    <t>E-T01-01; E-CALC-01</t>
  </si>
  <si>
    <t>VALIDATED</t>
  </si>
  <si>
    <t>T02</t>
  </si>
  <si>
    <t>Reminder Coverage Rate</t>
  </si>
  <si>
    <t>Verify the definition, calculation and dashboard display of Reminder Coverage.</t>
  </si>
  <si>
    <t>Calculate Reminder Sent = Yes / all appointments.</t>
  </si>
  <si>
    <t>Reminder Sent = Yes: 3,634; total appointments = 5,000; Reminder Coverage = 72.68%.</t>
  </si>
  <si>
    <t>3,634 / 5,000 = 72.68% and independent calculation agrees with Power BI.</t>
  </si>
  <si>
    <t>Reminder Sent = Yes: 3,634; total appointments = 5,000; recalculated Reminder Coverage = 72.68%; Power BI reconciled.</t>
  </si>
  <si>
    <t>E-T02-01; E-CALC-02</t>
  </si>
  <si>
    <t>T03</t>
  </si>
  <si>
    <t>Finding Reproduction + Robustness</t>
  </si>
  <si>
    <t>Booking Lead Time</t>
  </si>
  <si>
    <t>Determine whether Booking Lead Time remains a robust primary differentiation signal and reproduce the Week 6 evidence.</t>
  </si>
  <si>
    <t>Recalculate Week 6 lead-time bands, 0–30 vs 31–60 split, and key statistical checks.</t>
  </si>
  <si>
    <t>Bands: 0–7 29.47%; 8–14 35.19%; 15–30 45.53%; 31–45 57.03%; 46–60 71.36%. 0–30: 39.13%; 31–60: 63.95%; gap +24.82pp. Spearman ≈ .2873; OR per +10d ≈ 1.42.</t>
  </si>
  <si>
    <t>Populations/rates reproduce within rounding; direction and pattern are preserved; statistics materially consistent; no methodological anomaly.</t>
  </si>
  <si>
    <t>All lead-time bands reproduced. 0–30 = 39.13%; 31–60 = 63.95%; gap +24.82pp; Spearman ρ ≈ .2873; OR per +10d ≈ 1.42.</t>
  </si>
  <si>
    <t>E-T03-01; E-CALC-03</t>
  </si>
  <si>
    <t>T04</t>
  </si>
  <si>
    <t>Recorded Previous No-Shows</t>
  </si>
  <si>
    <t>Determine whether Recorded Previous No-Shows remains a complementary prioritisation signal.</t>
  </si>
  <si>
    <t>Recalculate grouped NSR for 0, 1, 2, 3+ recorded previous no-shows and 0 vs ≥1 comparison.</t>
  </si>
  <si>
    <t>0: 46.30%; 1: 55.87%; 2: 62.05%; 3+: 70.33%. 0 vs ≥1: 46.30% vs 57.83%; gap +11.53pp.</t>
  </si>
  <si>
    <t>Main groups and direction confirmed; complementary signal supported; patient-history limitation retained.</t>
  </si>
  <si>
    <t>0 = 46.30%; 1 = 55.87%; 2 = 62.05%; 3+ = 70.33%. 0 vs ≥1 = 46.30% vs 57.83%; gap +11.53pp.</t>
  </si>
  <si>
    <t>No corrective action required; retain patient-history limitation.</t>
  </si>
  <si>
    <t>E-T04-01; E-CALC-04</t>
  </si>
  <si>
    <t>VALIDATED WITH LIMITATION</t>
  </si>
  <si>
    <t>T05</t>
  </si>
  <si>
    <t>Combined Validation</t>
  </si>
  <si>
    <t>Lead Time × Previous No-Shows</t>
  </si>
  <si>
    <t>Verify the Week 6 combined differentiation used in the prioritisation framework.</t>
  </si>
  <si>
    <t>Recalculate the 2×2 matrix using Lead 0–30/31–60 and Previous NS 0/≥1.</t>
  </si>
  <si>
    <t>0–30 + Prev0: 34.52% (n=1,428); 0–30 + Prev≥1: 45.62% (n=1,015); 31–60 + Prev0: 59.07% (n=1,317); 31–60 + Prev≥1: 70.52% (n=977).</t>
  </si>
  <si>
    <t>Four populations/rates reproduced; longer-lead differentiation persists; Previous NS remains complementary; no deterministic interpretation.</t>
  </si>
  <si>
    <t>Matrix reproduced: 34.52% (n=1,428); 45.62% (n=1,015); 59.07% (n=1,317); 70.52% (n=977).</t>
  </si>
  <si>
    <t>No corrective action required; retain group-level, non-deterministic interpretation.</t>
  </si>
  <si>
    <t>E-T05-01; E-CALC-05</t>
  </si>
  <si>
    <t>T06</t>
  </si>
  <si>
    <t>Dashboard Consistency</t>
  </si>
  <si>
    <t>Dashboard Values &amp; Measures</t>
  </si>
  <si>
    <t>Verify consistency between independent calculations, DAX measures and displayed dashboard values.</t>
  </si>
  <si>
    <t>Compare validated independent calculations with DAX measures and dashboard displays for key Week 6 outputs.</t>
  </si>
  <si>
    <t>Independent calculation = DAX measure = dashboard display, subject only to intended formatting/rounding.</t>
  </si>
  <si>
    <t>Exact or rounding-consistent agreement; any substantive discrepancy is a FAIL requiring investigation.</t>
  </si>
  <si>
    <t>Independent calculations, DAX measures and displayed dashboard values reconciled for the validated Week 6 outputs.</t>
  </si>
  <si>
    <t>E-T06-01; E-PBI-01</t>
  </si>
  <si>
    <t>T07</t>
  </si>
  <si>
    <t>Functional Test</t>
  </si>
  <si>
    <t>Dashboard Filters</t>
  </si>
  <si>
    <t>Verify that relevant dashboard filters alter populations, KPIs and visuals correctly.</t>
  </si>
  <si>
    <t>Apply selected Week 6 dashboard filters and independently recalculate the same filtered populations/results.</t>
  </si>
  <si>
    <t>For each tested filter, the filtered dashboard result should equal the independent calculation under the same filter context.</t>
  </si>
  <si>
    <t>Same filter context and population produce the same result within rounding.</t>
  </si>
  <si>
    <t>MONITOR Follow-up: Total 1,421; observable 1,344; No-Show 728; Attended 616; Cancelled 77; NSR 54.17%; Reminder Coverage 72.98%. Filtered values were correct, but static global callouts could remain visible under subgroup context.</t>
  </si>
  <si>
    <t>Static global analytical callouts could be misread as subgroup conclusions after filtering.</t>
  </si>
  <si>
    <t>Removed context-vulnerable static callouts from MONITOR; retained MONITOR as interactive; removed free filtering from DIAGNOSE/PRIORITIZE validated reference views.</t>
  </si>
  <si>
    <t>Retest confirmed context-consistent architecture and correct filtered values.</t>
  </si>
  <si>
    <t>E-T07-01; E-BA-01; E-PBI-01</t>
  </si>
  <si>
    <t>REFINED &amp; VALIDATED</t>
  </si>
  <si>
    <t>T08</t>
  </si>
  <si>
    <t>Decision-Chain Validation</t>
  </si>
  <si>
    <t>MONITOR → DIAGNOSE → PRIORITIZE</t>
  </si>
  <si>
    <t>Verify end-to-end consistency from monitored KPI through diagnosis to prioritisation.</t>
  </si>
  <si>
    <t>Trace key dashboard statements from data and KPI through visual/finding to prioritisation.</t>
  </si>
  <si>
    <t>MONITOR reflects the correct global problem; DIAGNOSE uses supported patterns; PRIORITIZE uses only validated findings.</t>
  </si>
  <si>
    <t>No material contradiction across Data → KPI → Visual → Finding → Prioritisation; interpretation remains proportionate to evidence.</t>
  </si>
  <si>
    <t>End-to-end review confirmed correct MONITOR → DIAGNOSE → PRIORITIZE logic after page-role refinement and explicit usage guidance.</t>
  </si>
  <si>
    <t>Dashboard role/interaction guidance needed to be explicit.</t>
  </si>
  <si>
    <t>Added visible instructions distinguishing interactive MONITOR from validated reference views on DIAGNOSE and PRIORITIZE.</t>
  </si>
  <si>
    <t>Retest passed; no material contradiction remained across data, KPI, visual, finding and prioritisation.</t>
  </si>
  <si>
    <t>E-T08-01; E-BA-01; E-PBI-01</t>
  </si>
  <si>
    <t>T09</t>
  </si>
  <si>
    <t>P2</t>
  </si>
  <si>
    <t>Secondary Finding Validation</t>
  </si>
  <si>
    <t>Reminder Status</t>
  </si>
  <si>
    <t>Verify the Week 6 descriptive reminder-status result and its interpretation level.</t>
  </si>
  <si>
    <t>Recalculate NSR among attendance-observable appointments by Reminder Sent status.</t>
  </si>
  <si>
    <t>No reminder: 54.63%; Reminder sent: 49.86%; gap ≈ +4.78pp.</t>
  </si>
  <si>
    <t>Values reproduced/corrected and interpretation remains explicitly observational and non-causal.</t>
  </si>
  <si>
    <t>No reminder: N=1,285, NSR 54.63%; reminder sent: N=3,452, NSR 49.86%; gap +4.78pp; χ²≈8.36, p≈.0038, Phi≈.042.</t>
  </si>
  <si>
    <t>No corrective action required; preserve observational/non-causal interpretation.</t>
  </si>
  <si>
    <t>E-T09-01; E-CALC-06</t>
  </si>
  <si>
    <t>T10</t>
  </si>
  <si>
    <t>Contextual Validation</t>
  </si>
  <si>
    <t>Distance to Clinic</t>
  </si>
  <si>
    <t>Determine whether the Week 6 weak standalone interpretation remains defensible and prepare for later cross-track comparison.</t>
  </si>
  <si>
    <t>Recalculate the standalone association between distance and no-show outcome using the validated analytical population.</t>
  </si>
  <si>
    <t>Reference: Spearman rho ≈ .055; weak standalone relationship.</t>
  </si>
  <si>
    <t>Weak standalone relationship is reproduced or any material change is investigated; no unsupported standalone prioritisation.</t>
  </si>
  <si>
    <t>Attendance-observable usable distance N=4,651; missing=86 (1.82%); Spearman ρ≈.0551. Band pattern remained weak overall; extreme &gt;30km group sparse.</t>
  </si>
  <si>
    <t>No corrective action required; no standalone targeting; document sparse extremes.</t>
  </si>
  <si>
    <t>Data Science (cross-track follow-up)</t>
  </si>
  <si>
    <t>E-T10-01; E-CALC-07; CT02</t>
  </si>
  <si>
    <t>T11</t>
  </si>
  <si>
    <t>Segment Robustness</t>
  </si>
  <si>
    <t>Appointment Type × Booking Lead Time</t>
  </si>
  <si>
    <t>Determine whether the Booking Lead Time pattern is consistent across relevant Appointment Types and whether Follow-up materially nuances the Week 6 framework.</t>
  </si>
  <si>
    <t>Compare no-show patterns across booking-lead bands within relevant Appointment Types.</t>
  </si>
  <si>
    <t>No predetermined numeric result. Possible outcome: Consistent, Heterogeneous, or Inconclusive.</t>
  </si>
  <si>
    <t>Classify evidence as Consistent / Heterogeneous / Inconclusive using observed segment evidence; do not force confirmation. Inconclusive is not automatically FAIL.</t>
  </si>
  <si>
    <t>Lead-time gap by type: Diagnostic +22.24pp; Follow-up +28.73pp; General +23.51pp; Specialist +23.16pp. Interaction p≈.326.</t>
  </si>
  <si>
    <t>Descriptive Follow-up gap could be overinterpreted as a distinct rule.</t>
  </si>
  <si>
    <t>Formally tested interaction; retained broad Booking Lead Time signal and rejected a Follow-up-specific rule.</t>
  </si>
  <si>
    <t>Cross-track CT01 later confirmed no meaningful incremental value from long_lead_followup.</t>
  </si>
  <si>
    <t>Data Science</t>
  </si>
  <si>
    <t>E-T11-01; E-CALC-08; CT01</t>
  </si>
  <si>
    <t>T12</t>
  </si>
  <si>
    <t>Decision Validation</t>
  </si>
  <si>
    <t>Recommendation Framework</t>
  </si>
  <si>
    <t>Determine whether Week 6 recommendations remain proportionate and traceable after Week 7 testing.</t>
  </si>
  <si>
    <t>Reassess: PRIORITISE longer booking lead times; REFINE Recorded Previous No-Shows; TEST &amp; MEASURE attendance support.</t>
  </si>
  <si>
    <t>No predetermined unchanged recommendation; recommendations should remain evidence-based or be refined according to validated tests.</t>
  </si>
  <si>
    <t>Each final recommendation is traceable through Validated Finding → Business Implication → Decision → Action → Monitoring KPI.</t>
  </si>
  <si>
    <t>Three recommendations remained evidence-aligned, but the post-action evaluation cycle was not explicit enough.</t>
  </si>
  <si>
    <t>Post-recommendation evaluation logic insufficiently explicit.</t>
  </si>
  <si>
    <t>Refined to Validated Evidence → Decision → Action → Monitoring KPI → Evaluation → Extend / Adjust / Stop.</t>
  </si>
  <si>
    <t>Retest confirmed traceability and evidence-proportional recommendations.</t>
  </si>
  <si>
    <t>E-T12-01; E-BA-02</t>
  </si>
  <si>
    <t>T13</t>
  </si>
  <si>
    <t>P3</t>
  </si>
  <si>
    <t>Targeted Control</t>
  </si>
  <si>
    <t>No-Standalone-Signal Variables</t>
  </si>
  <si>
    <t>Verify that no Week 7 evidence requires reversing the Week 6 no-standalone classification.</t>
  </si>
  <si>
    <t>Targeted controls for Day, Time, Waiting Time, Age Group, Gender and Previous Appointments.</t>
  </si>
  <si>
    <t>No predetermined new signal.</t>
  </si>
  <si>
    <t>Escalate P3 to P2 only if substantive contradictory evidence appears; otherwise document successful control validation and stop.</t>
  </si>
  <si>
    <t>Day p=.382 V=.037; Time p=.677 V=.013; Waiting ρ=-.004 p=.786; Age Group p=.236 V=.038; Gender p=.401 V=.020; Previous Appointments ρ=.040 p=.0059 (extremely weak).</t>
  </si>
  <si>
    <t>No escalation; retain no-standalone classification.</t>
  </si>
  <si>
    <t>Not required — control validation passed.</t>
  </si>
  <si>
    <t>E-T13-01; E-CALC-09</t>
  </si>
  <si>
    <t>T14</t>
  </si>
  <si>
    <t>Contextual Control</t>
  </si>
  <si>
    <t>Reminder Channel</t>
  </si>
  <si>
    <t>Verify that weak Week 6 channel differences do not justify a channel-specific recommendation.</t>
  </si>
  <si>
    <t>Recalculate NSR by reminder channel among reminded appointments.</t>
  </si>
  <si>
    <t>SMS 47.98%; Email 50.99%; WhatsApp 52.74%.</t>
  </si>
  <si>
    <t>Differences broadly reproduce and no sufficiently strong evidence supports channel-specific prioritisation.</t>
  </si>
  <si>
    <t>Among reminded appointments: SMS 47.98%; Email 50.99%; WhatsApp 52.74%; χ²≈6.40, p≈.0407, Cramér's V≈.043.</t>
  </si>
  <si>
    <t>No channel-specific recommendation; retain contextual interpretation.</t>
  </si>
  <si>
    <t>E-T14-01; E-CALC-10</t>
  </si>
  <si>
    <t>WEEK 7 — EVIDENCE REGISTER</t>
  </si>
  <si>
    <t>Use one Evidence ID per traceable proof. Link each item to the relevant Test ID.</t>
  </si>
  <si>
    <t>Evidence ID</t>
  </si>
  <si>
    <t>Evidence Description</t>
  </si>
  <si>
    <t>Evidence Type</t>
  </si>
  <si>
    <t>File / Location</t>
  </si>
  <si>
    <t>Date</t>
  </si>
  <si>
    <t>Validation Note</t>
  </si>
  <si>
    <t>Status</t>
  </si>
  <si>
    <t>E-T01-01</t>
  </si>
  <si>
    <t>Independent NSR recalculation and population reconciliation</t>
  </si>
  <si>
    <t>Calculation / Recalculation</t>
  </si>
  <si>
    <t>Calculation Evidence!A5:F8</t>
  </si>
  <si>
    <t>2026-09-19</t>
  </si>
  <si>
    <t>2,423 / 4,737 = 51.15%; agrees with dashboard.</t>
  </si>
  <si>
    <t>E-T02-01</t>
  </si>
  <si>
    <t>Reminder Coverage recalculation</t>
  </si>
  <si>
    <t>Calculation Evidence!A10:F13</t>
  </si>
  <si>
    <t>3,634 / 5,000 = 72.68%; agrees with dashboard.</t>
  </si>
  <si>
    <t>E-T03-01</t>
  </si>
  <si>
    <t>Booking Lead Time band and split validation</t>
  </si>
  <si>
    <t>Calculation Evidence!A15:F24</t>
  </si>
  <si>
    <t>Bands, split, gap, rho and OR reproduced.</t>
  </si>
  <si>
    <t>E-T04-01</t>
  </si>
  <si>
    <t>Recorded Previous No-Shows validation</t>
  </si>
  <si>
    <t>Calculation Evidence!A26:F33</t>
  </si>
  <si>
    <t>0,1,2,3+ and 0 vs ≥1 reproduced.</t>
  </si>
  <si>
    <t>E-T05-01</t>
  </si>
  <si>
    <t>Lead Time × Previous No-Shows matrix</t>
  </si>
  <si>
    <t>Calculation Evidence!A35:F41</t>
  </si>
  <si>
    <t>Four matrix cells reproduced with populations.</t>
  </si>
  <si>
    <t>E-T06-01</t>
  </si>
  <si>
    <t>Power BI value reconciliation</t>
  </si>
  <si>
    <t>Power BI Evidence</t>
  </si>
  <si>
    <t>Dashboard Evidence!A5:G8</t>
  </si>
  <si>
    <t>Core displayed values agree with validated calculations.</t>
  </si>
  <si>
    <t>E-T07-01</t>
  </si>
  <si>
    <t>Filter scenario test and interpretation-risk evidence</t>
  </si>
  <si>
    <t>Functional / Retest</t>
  </si>
  <si>
    <t>Before-After Evidence!A5:F8</t>
  </si>
  <si>
    <t>Issue identified, refined and successfully retested.</t>
  </si>
  <si>
    <t>E-T08-01</t>
  </si>
  <si>
    <t>MONITOR → DIAGNOSE → PRIORITIZE end-to-end validation</t>
  </si>
  <si>
    <t>Decision-chain / Retest</t>
  </si>
  <si>
    <t>Before-After Evidence!A10:F13</t>
  </si>
  <si>
    <t>Page roles clarified and retested.</t>
  </si>
  <si>
    <t>E-T09-01</t>
  </si>
  <si>
    <t>Reminder Status recalculation and effect-size check</t>
  </si>
  <si>
    <t>Calculation Evidence!A43:F47</t>
  </si>
  <si>
    <t>Weak observational difference; non-causal.</t>
  </si>
  <si>
    <t>E-T10-01</t>
  </si>
  <si>
    <t>Distance standalone validation</t>
  </si>
  <si>
    <t>Calculation Evidence!A49:F57</t>
  </si>
  <si>
    <t>Very weak standalone association; sparse extreme band.</t>
  </si>
  <si>
    <t>E-T11-01</t>
  </si>
  <si>
    <t>Appointment Type × Booking Lead Time robustness</t>
  </si>
  <si>
    <t>Calculation / Robustness</t>
  </si>
  <si>
    <t>Calculation Evidence!A59:F65</t>
  </si>
  <si>
    <t>Lead pattern robust; interaction unsupported.</t>
  </si>
  <si>
    <t>E-T12-01</t>
  </si>
  <si>
    <t>Recommendation framework before/after and retest</t>
  </si>
  <si>
    <t>Decision / Retest</t>
  </si>
  <si>
    <t>Before-After Evidence!A15:F18</t>
  </si>
  <si>
    <t>Evaluation cycle made explicit and validated.</t>
  </si>
  <si>
    <t>E-T13-01</t>
  </si>
  <si>
    <t>Control-variable validation</t>
  </si>
  <si>
    <t>Calculation / Control</t>
  </si>
  <si>
    <t>Calculation Evidence!A67:F75</t>
  </si>
  <si>
    <t>No control variable escalated to standalone priority.</t>
  </si>
  <si>
    <t>E-T14-01</t>
  </si>
  <si>
    <t>Reminder Channel control</t>
  </si>
  <si>
    <t>Calculation Evidence!A77:F82</t>
  </si>
  <si>
    <t>Very weak channel differences; no channel recommendation.</t>
  </si>
  <si>
    <t>WEEK 7 — CROSS-TRACK TESTING &amp; VALIDATION RECORD</t>
  </si>
  <si>
    <t>Meaningful HC-POD testing completed after individual Analytics validation. Results changed the Week 8 candidate feature set and clarified Analytics vs predictive evidence.</t>
  </si>
  <si>
    <t>Cross-Test ID</t>
  </si>
  <si>
    <t>Track Collaborated With</t>
  </si>
  <si>
    <t>Project Dependency</t>
  </si>
  <si>
    <t>Component / Output Tested</t>
  </si>
  <si>
    <t>Information / Output Received</t>
  </si>
  <si>
    <t>Information / Output Provided</t>
  </si>
  <si>
    <t>Testing Activity Completed</t>
  </si>
  <si>
    <t>Issue / Finding Identified</t>
  </si>
  <si>
    <t>Refinement / Action Taken</t>
  </si>
  <si>
    <t>What Changed as a Result</t>
  </si>
  <si>
    <t>HealthConnect Improvement</t>
  </si>
  <si>
    <t>CT01</t>
  </si>
  <si>
    <t>Validate Analytics findings influencing model features</t>
  </si>
  <si>
    <t>long_lead_followup</t>
  </si>
  <si>
    <t>DS ablation outputs: single-split AUC diff +0.0017; bootstrap 95% CI [-0.0008, 0.0041]; grouped 5-fold mean diff +0.0009.</t>
  </si>
  <si>
    <t>Analytics: Lead 0–30 39.13% vs 31–60 63.95%; Appointment Type interaction p≈.326; request for controlled incremental-value test.</t>
  </si>
  <si>
    <t>With-vs-without feature ablation using same Logistic Regression pipeline, patient-grouped split/preprocessing; single split, bootstrap CI and grouped 5-fold CV.</t>
  </si>
  <si>
    <t>No statistically meaningful incremental predictive value demonstrated beyond broader Booking Lead Time signal.</t>
  </si>
  <si>
    <t>Remove long_lead_followup from Week 8 candidate feature set.</t>
  </si>
  <si>
    <t>Performance remained statistically indistinguishable without the feature; single-split accuracy/F1 marginally higher.</t>
  </si>
  <si>
    <t>Simpler Week 8 feature set without measurable predictive loss.</t>
  </si>
  <si>
    <t>Ayden cross-track evidence + supporting DS notebook</t>
  </si>
  <si>
    <t>Removes redundant engineered feature and aligns model design with validated Analytics evidence.</t>
  </si>
  <si>
    <t>PASS | REFINED &amp; VALIDATED</t>
  </si>
  <si>
    <t>CT02</t>
  </si>
  <si>
    <t>Clarify whether weak standalone Distance association can still add multivariable predictive value</t>
  </si>
  <si>
    <t>distance_to_clinic_km</t>
  </si>
  <si>
    <t>DS ablation outputs: single-split bootstrap CI inconclusive; with-Distance model won 5/5 grouped CV folds; mean AUC diff +0.0043; Top-20% lift 1.44×→1.40× when removed.</t>
  </si>
  <si>
    <t>Analytics: Distance Spearman ρ≈.055; Secondary / Contextual; no standalone targeting.</t>
  </si>
  <si>
    <t>With-vs-without Distance ablation under same modelling pipeline; grouped CV and Top-20%-risk business-lift comparison.</t>
  </si>
  <si>
    <t>Small but consistent multivariable predictive contribution despite weak standalone Analytics association.</t>
  </si>
  <si>
    <t>Retain distance_to_clinic_km in predictive model; keep Analytics classification unchanged.</t>
  </si>
  <si>
    <t>Grouped CV consistently supported retention; single split remained inconclusive.</t>
  </si>
  <si>
    <t>Feature retention is now evidence-based rather than assumed.</t>
  </si>
  <si>
    <t>Clarifies that weak standalone association does not imply zero multivariable predictive value.</t>
  </si>
  <si>
    <t>PASS | RETAINED &amp; VALIDATED</t>
  </si>
  <si>
    <t>WEEK 8 READINESS — VALIDATION SUMMARY</t>
  </si>
  <si>
    <t>Final Week 7 readiness classification after Analytics testing, refinement, retesting, end-to-end validation and cross-track testing.</t>
  </si>
  <si>
    <t>Readiness ID</t>
  </si>
  <si>
    <t>Source Test ID</t>
  </si>
  <si>
    <t>Category</t>
  </si>
  <si>
    <t>Validated / Remaining Item</t>
  </si>
  <si>
    <t>Impact on Week 8</t>
  </si>
  <si>
    <t>Required Action</t>
  </si>
  <si>
    <t>Owner / Track</t>
  </si>
  <si>
    <t>R01</t>
  </si>
  <si>
    <t>T01–T14</t>
  </si>
  <si>
    <t>Validated Core Analytics</t>
  </si>
  <si>
    <t>KPI definitions, evidence hierarchy, dashboard values and decision-support logic validated.</t>
  </si>
  <si>
    <t>Ready for integration.</t>
  </si>
  <si>
    <t>Preserve validated definitions and evidence hierarchy.</t>
  </si>
  <si>
    <t>Data Analytics</t>
  </si>
  <si>
    <t>RESOLVED BEFORE WEEK 8</t>
  </si>
  <si>
    <t>R02</t>
  </si>
  <si>
    <t>T07–T08</t>
  </si>
  <si>
    <t>Dashboard</t>
  </si>
  <si>
    <t>MONITOR interactive; DIAGNOSE and PRIORITIZE validated reference views.</t>
  </si>
  <si>
    <t>Safe for final use if governance preserved.</t>
  </si>
  <si>
    <t>Maintain page-role guidance and final frozen design.</t>
  </si>
  <si>
    <t>R03</t>
  </si>
  <si>
    <t>T04/T10/T13</t>
  </si>
  <si>
    <t>Limitation</t>
  </si>
  <si>
    <t>Patient-history consistency, missing values, sparse extremes and observational design.</t>
  </si>
  <si>
    <t>Limits interpretation, not validity of core findings.</t>
  </si>
  <si>
    <t>Carry limitations into final integration/presentation.</t>
  </si>
  <si>
    <t>ACCEPTED LIMITATION</t>
  </si>
  <si>
    <t>R04</t>
  </si>
  <si>
    <t>CT01/CT02</t>
  </si>
  <si>
    <t>Cross-Track Dependency</t>
  </si>
  <si>
    <t>long_lead_followup removed; Distance retained after controlled DS testing.</t>
  </si>
  <si>
    <t>No open Week 7 Analytics→DS testing dependency.</t>
  </si>
  <si>
    <t>Preserve Analytics vs predictive interpretation.</t>
  </si>
  <si>
    <t>Data Analytics / Data Science</t>
  </si>
  <si>
    <t>R05</t>
  </si>
  <si>
    <t>Recommendation</t>
  </si>
  <si>
    <t>Intervention effectiveness has not been established.</t>
  </si>
  <si>
    <t>Operational effectiveness remains uncertain.</t>
  </si>
  <si>
    <t>Use Test &amp; Measure with predefined reference and monitoring KPI.</t>
  </si>
  <si>
    <t>Data Analytics / Integration</t>
  </si>
  <si>
    <t>REQUIRES WEEK 8 ACTION</t>
  </si>
  <si>
    <t>R06</t>
  </si>
  <si>
    <t>T01–T14/CT01–CT02</t>
  </si>
  <si>
    <t>Outstanding Issue</t>
  </si>
  <si>
    <t>No critical unresolved Analytics inconsistency identified.</t>
  </si>
  <si>
    <t>No blocker for Week 8 integration.</t>
  </si>
  <si>
    <t>Final cross-deliverable QA and evidence-consistent storytelling.</t>
  </si>
  <si>
    <t>HOW TO USE THIS WEEK 7 SSOT</t>
  </si>
  <si>
    <t>HealthConnect Analytics Testing &amp; Refinement — controlled testing workflow</t>
  </si>
  <si>
    <t>Item</t>
  </si>
  <si>
    <t>Guidance</t>
  </si>
  <si>
    <t>Purpose</t>
  </si>
  <si>
    <t>This workbook is the Week 7 working Single Source of Truth for Data Analytics testing, refinement, re-testing, validation evidence and Week 8 readiness.</t>
  </si>
  <si>
    <t>Execution Rule</t>
  </si>
  <si>
    <t>REVIEW → TEST → COMPARE → VALIDATE → REFINE IF NEEDED → RE-TEST → DOCUMENT.</t>
  </si>
  <si>
    <t>Integrity Rule 1</t>
  </si>
  <si>
    <t>Do not populate Actual Result, Pass/Fail, Issue, Action, Retest Result or Final Validation Status before the test is executed.</t>
  </si>
  <si>
    <t>Integrity Rule 2</t>
  </si>
  <si>
    <t>Do not invent an issue. If a test passes with no issue: Issue Identified = None; Action Taken = No corrective action required; Retest Result = Not required — initial validation passed.</t>
  </si>
  <si>
    <t>Integrity Rule 3</t>
  </si>
  <si>
    <t>A FAIL must be investigated before correction. Document root cause, evidence-based action and the result of re-testing the same scenario.</t>
  </si>
  <si>
    <t>The test satisfies the pre-defined Acceptance Criterion.</t>
  </si>
  <si>
    <t>FAIL</t>
  </si>
  <si>
    <t>The test does not satisfy the pre-defined Acceptance Criterion and requires investigation.</t>
  </si>
  <si>
    <t>INCONCLUSIVE</t>
  </si>
  <si>
    <t>Evidence is insufficient to reach a defensible conclusion; this is not automatically a FAIL.</t>
  </si>
  <si>
    <t>Result confirmed without a new substantive limitation.</t>
  </si>
  <si>
    <t>Result confirmed, but a limitation must accompany interpretation/use.</t>
  </si>
  <si>
    <t>A genuine issue was identified, corrected and successfully re-tested.</t>
  </si>
  <si>
    <t>NOT VALIDATED</t>
  </si>
  <si>
    <t>The result did not withstand testing or the identified issue remains unresolved.</t>
  </si>
  <si>
    <t>Evidence IDs</t>
  </si>
  <si>
    <t>Use E-T01-01, E-T01-02, etc. Every important claim in the final Week 7 report should be traceable to evidence.</t>
  </si>
  <si>
    <t>Cross-Track</t>
  </si>
  <si>
    <t>CT01 and CT02 are now completed. Cross-track evidence is recorded in the Cross-Track Validation sheet; no open Week 7 Analytics→Data Science testing dependency remains.</t>
  </si>
  <si>
    <t>WEEK 7 — TESTING &amp; VALIDATION EVIDENCE PACK INDEX</t>
  </si>
  <si>
    <t>HealthConnect Data Analytics | Nancy Lee YIMBERE ALAPINI | Evidence map for traceable Week 7 validation</t>
  </si>
  <si>
    <t>Evidence Category</t>
  </si>
  <si>
    <t>Included Evidence</t>
  </si>
  <si>
    <t>Location / File</t>
  </si>
  <si>
    <t>Related Tests</t>
  </si>
  <si>
    <t>Validation Status</t>
  </si>
  <si>
    <t>Submission Note</t>
  </si>
  <si>
    <t>Testing &amp; Validation Record</t>
  </si>
  <si>
    <t>T01–T14 complete record with actual results, issues, actions and retests</t>
  </si>
  <si>
    <t>Test Register</t>
  </si>
  <si>
    <t>Primary evidence register</t>
  </si>
  <si>
    <t>Calculations / Recalculations</t>
  </si>
  <si>
    <t>KPI, lead-time, Previous NS, matrix, reminder, distance, robustness and controls</t>
  </si>
  <si>
    <t>Calculation Evidence</t>
  </si>
  <si>
    <t>T01–T05; T09–T14</t>
  </si>
  <si>
    <t>Traceable numerical evidence</t>
  </si>
  <si>
    <t>Screenshots</t>
  </si>
  <si>
    <t>Final Power BI pages: MONITOR, DIAGNOSE, PRIORITIZE</t>
  </si>
  <si>
    <t>01_monitor.png; 02_diagnose.png; 03_prioritize.png</t>
  </si>
  <si>
    <t>T06–T08</t>
  </si>
  <si>
    <t>Attach/export with submission</t>
  </si>
  <si>
    <t>Dashboard reconciliation and final page-role evidence</t>
  </si>
  <si>
    <t>Dashboard Evidence + final PNG screenshots</t>
  </si>
  <si>
    <t>PBIX should be submitted separately if required</t>
  </si>
  <si>
    <t>Before / After Evidence</t>
  </si>
  <si>
    <t>Filter-context issue, dashboard role refinement, recommendation-cycle refinement</t>
  </si>
  <si>
    <t>Before-After Evidence</t>
  </si>
  <si>
    <t>T07; T08; T12</t>
  </si>
  <si>
    <t>Before state documented from executed scenarios; after state supported by final screenshots</t>
  </si>
  <si>
    <t>Code / Notebook Outputs</t>
  </si>
  <si>
    <t>Calculation outputs and cross-track Data Science notebook evidence</t>
  </si>
  <si>
    <t>Calculation Evidence; Ayden supporting DS notebook</t>
  </si>
  <si>
    <t>T01–T14; CT01–CT02</t>
  </si>
  <si>
    <t>Analytics calculations captured in this pack; DS notebook remains supporting cross-track file</t>
  </si>
  <si>
    <t>Retest Evidence</t>
  </si>
  <si>
    <t>Dashboard and recommendation retests after refinements</t>
  </si>
  <si>
    <t>Test Register; Before-After Evidence</t>
  </si>
  <si>
    <t>Same scenarios rechecked after action</t>
  </si>
  <si>
    <t>Cross-Track Evidence</t>
  </si>
  <si>
    <t>CT01 long_lead_followup and CT02 Distance controlled feature ablations</t>
  </si>
  <si>
    <t>Cross-Track Validation + Ayden evidence document</t>
  </si>
  <si>
    <t>CT01–CT02</t>
  </si>
  <si>
    <t>Meaningful cross-track test changed model decisions</t>
  </si>
  <si>
    <t>GitHub Commits</t>
  </si>
  <si>
    <t>Repository evidence for Week 7 upload/commit history</t>
  </si>
  <si>
    <t>GitHub Evidence</t>
  </si>
  <si>
    <t>Submission packaging</t>
  </si>
  <si>
    <t>PENDING USER PUSH / VERIFICATION</t>
  </si>
  <si>
    <t>Do not invent commit hashes; populate after Week 7 files are pushed</t>
  </si>
  <si>
    <t>WEEK 7 — CALCULATIONS &amp; RECALCULATIONS</t>
  </si>
  <si>
    <t>Validated numerical evidence supporting T01–T14. Values are recorded from the completed Week 7 testing workflow.</t>
  </si>
  <si>
    <t>T01 — Overall No-Show Rate</t>
  </si>
  <si>
    <t>Metric</t>
  </si>
  <si>
    <t>Numerator</t>
  </si>
  <si>
    <t>Denominator</t>
  </si>
  <si>
    <t>Calculation</t>
  </si>
  <si>
    <t>Result</t>
  </si>
  <si>
    <t>Validation</t>
  </si>
  <si>
    <t>2,423 / 4,737</t>
  </si>
  <si>
    <t>51.15%</t>
  </si>
  <si>
    <t>Attendance-observable population</t>
  </si>
  <si>
    <t>No-Show + Attended</t>
  </si>
  <si>
    <t>2,423 + 2,314</t>
  </si>
  <si>
    <t>4,737</t>
  </si>
  <si>
    <t>T02 — Reminder Coverage</t>
  </si>
  <si>
    <t>Reminder Coverage</t>
  </si>
  <si>
    <t>3,634 / 5,000</t>
  </si>
  <si>
    <t>72.68%</t>
  </si>
  <si>
    <t>Full operational population</t>
  </si>
  <si>
    <t>All appointments</t>
  </si>
  <si>
    <t>5,000</t>
  </si>
  <si>
    <t>T03 — Booking Lead Time</t>
  </si>
  <si>
    <t>Segment</t>
  </si>
  <si>
    <t>N / Statistic</t>
  </si>
  <si>
    <t>Comparison</t>
  </si>
  <si>
    <t>0–7 days</t>
  </si>
  <si>
    <t>29.47%</t>
  </si>
  <si>
    <t>8–14 days</t>
  </si>
  <si>
    <t>35.19%</t>
  </si>
  <si>
    <t>15–30 days</t>
  </si>
  <si>
    <t>45.53%</t>
  </si>
  <si>
    <t>31–45 days</t>
  </si>
  <si>
    <t>57.03%</t>
  </si>
  <si>
    <t>46–60 days</t>
  </si>
  <si>
    <t>71.36%</t>
  </si>
  <si>
    <t>0–30 days</t>
  </si>
  <si>
    <t>39.13%</t>
  </si>
  <si>
    <t>vs 31–60</t>
  </si>
  <si>
    <t>+24.82pp</t>
  </si>
  <si>
    <t>31–60 days</t>
  </si>
  <si>
    <t>63.95%</t>
  </si>
  <si>
    <t>Spearman / OR</t>
  </si>
  <si>
    <t>ρ≈.2873; OR +10d≈1.42</t>
  </si>
  <si>
    <t>T04 — Recorded Previous No-Shows</t>
  </si>
  <si>
    <t>Group</t>
  </si>
  <si>
    <t>N / Basis</t>
  </si>
  <si>
    <t>0</t>
  </si>
  <si>
    <t>46.30%</t>
  </si>
  <si>
    <t>1</t>
  </si>
  <si>
    <t>55.87%</t>
  </si>
  <si>
    <t>2</t>
  </si>
  <si>
    <t>62.05%</t>
  </si>
  <si>
    <t>3+</t>
  </si>
  <si>
    <t>70.33%</t>
  </si>
  <si>
    <t>0 vs ≥1</t>
  </si>
  <si>
    <t>46.30% vs 57.83%</t>
  </si>
  <si>
    <t>Gap</t>
  </si>
  <si>
    <t>+11.53pp</t>
  </si>
  <si>
    <t>T05 — Combined Lead Time × Previous NS</t>
  </si>
  <si>
    <t>Lead Group</t>
  </si>
  <si>
    <t>Previous NS</t>
  </si>
  <si>
    <t>N</t>
  </si>
  <si>
    <t>Interpretation</t>
  </si>
  <si>
    <t>0–30</t>
  </si>
  <si>
    <t>34.52%</t>
  </si>
  <si>
    <t>Lower-priority group</t>
  </si>
  <si>
    <t>≥1</t>
  </si>
  <si>
    <t>45.62%</t>
  </si>
  <si>
    <t>Complementary history signal</t>
  </si>
  <si>
    <t>31–60</t>
  </si>
  <si>
    <t>59.07%</t>
  </si>
  <si>
    <t>Longer-lead differentiation</t>
  </si>
  <si>
    <t>70.52%</t>
  </si>
  <si>
    <t>Highest group-level observed NSR; not deterministic</t>
  </si>
  <si>
    <t>T09 — Reminder Status</t>
  </si>
  <si>
    <t>Statistic</t>
  </si>
  <si>
    <t>Effect / Gap</t>
  </si>
  <si>
    <t>No</t>
  </si>
  <si>
    <t>54.63%</t>
  </si>
  <si>
    <t>χ²≈8.36; p≈.0038</t>
  </si>
  <si>
    <t>+4.78pp vs Yes</t>
  </si>
  <si>
    <t>Yes</t>
  </si>
  <si>
    <t>49.86%</t>
  </si>
  <si>
    <t>Phi≈.042</t>
  </si>
  <si>
    <t>Very weak effect</t>
  </si>
  <si>
    <t>T10 — Distance to Clinic</t>
  </si>
  <si>
    <t>Distance Band / Metric</t>
  </si>
  <si>
    <t>0–5 km</t>
  </si>
  <si>
    <t>48.69%</t>
  </si>
  <si>
    <t>Weak standalone pattern</t>
  </si>
  <si>
    <t>&gt;5–10 km</t>
  </si>
  <si>
    <t>49.34%</t>
  </si>
  <si>
    <t>&gt;10–20 km</t>
  </si>
  <si>
    <t>52.28%</t>
  </si>
  <si>
    <t>&gt;20–30 km</t>
  </si>
  <si>
    <t>58.36%</t>
  </si>
  <si>
    <t>Interpret cautiously</t>
  </si>
  <si>
    <t>&gt;30 km</t>
  </si>
  <si>
    <t>70.00%</t>
  </si>
  <si>
    <t>Sparse extreme segment</t>
  </si>
  <si>
    <t>Spearman</t>
  </si>
  <si>
    <t>ρ≈.0551; p≈.00017</t>
  </si>
  <si>
    <t>Very weak association</t>
  </si>
  <si>
    <t>T11 — Appointment Type × Booking Lead Time</t>
  </si>
  <si>
    <t>Appointment Type</t>
  </si>
  <si>
    <t>0–30 NSR</t>
  </si>
  <si>
    <t>31–60 NSR</t>
  </si>
  <si>
    <t>Interaction</t>
  </si>
  <si>
    <t>Diagnostic</t>
  </si>
  <si>
    <t>40.30%</t>
  </si>
  <si>
    <t>62.54%</t>
  </si>
  <si>
    <t>+22.24pp</t>
  </si>
  <si>
    <t>p≈.326 overall interaction</t>
  </si>
  <si>
    <t>Follow-up</t>
  </si>
  <si>
    <t>40.06%</t>
  </si>
  <si>
    <t>68.79%</t>
  </si>
  <si>
    <t>+28.73pp</t>
  </si>
  <si>
    <t>No distinct supported rule</t>
  </si>
  <si>
    <t>General</t>
  </si>
  <si>
    <t>37.91%</t>
  </si>
  <si>
    <t>61.42%</t>
  </si>
  <si>
    <t>+23.51pp</t>
  </si>
  <si>
    <t>Pattern preserved</t>
  </si>
  <si>
    <t>Specialist</t>
  </si>
  <si>
    <t>39.82%</t>
  </si>
  <si>
    <t>62.98%</t>
  </si>
  <si>
    <t>+23.16pp</t>
  </si>
  <si>
    <t>T13 — Control Variables</t>
  </si>
  <si>
    <t>Variable</t>
  </si>
  <si>
    <t>Statistic / Test</t>
  </si>
  <si>
    <t>p-value</t>
  </si>
  <si>
    <t>Effect Size</t>
  </si>
  <si>
    <t>Decision</t>
  </si>
  <si>
    <t>Appointment Day</t>
  </si>
  <si>
    <t>Chi-square</t>
  </si>
  <si>
    <t>.382</t>
  </si>
  <si>
    <t>V=.037</t>
  </si>
  <si>
    <t>No standalone signal</t>
  </si>
  <si>
    <t>Appointment Time</t>
  </si>
  <si>
    <t>.677</t>
  </si>
  <si>
    <t>V=.013</t>
  </si>
  <si>
    <t>Waiting Time</t>
  </si>
  <si>
    <t>Spearman ρ=-.004</t>
  </si>
  <si>
    <t>.786</t>
  </si>
  <si>
    <t>Age Group</t>
  </si>
  <si>
    <t>.236</t>
  </si>
  <si>
    <t>V=.038</t>
  </si>
  <si>
    <t>Gender</t>
  </si>
  <si>
    <t>.401</t>
  </si>
  <si>
    <t>V=.020</t>
  </si>
  <si>
    <t>Previous Appointments</t>
  </si>
  <si>
    <t>Spearman ρ=.040</t>
  </si>
  <si>
    <t>.0059</t>
  </si>
  <si>
    <t>Extremely weak</t>
  </si>
  <si>
    <t>T14 — Reminder Channel</t>
  </si>
  <si>
    <t>Channel</t>
  </si>
  <si>
    <t>SMS</t>
  </si>
  <si>
    <t>47.98%</t>
  </si>
  <si>
    <t>χ²≈6.40; p≈.0407</t>
  </si>
  <si>
    <t>No channel priority</t>
  </si>
  <si>
    <t>Email</t>
  </si>
  <si>
    <t>50.99%</t>
  </si>
  <si>
    <t>Cramér's V≈.043</t>
  </si>
  <si>
    <t>WhatsApp</t>
  </si>
  <si>
    <t>52.74%</t>
  </si>
  <si>
    <t>WEEK 7 — POWER BI &amp; SCREENSHOT EVIDENCE</t>
  </si>
  <si>
    <t>Final dashboard evidence after calculation reconciliation, filter testing, refinement and retesting.</t>
  </si>
  <si>
    <t>Dashboard Page</t>
  </si>
  <si>
    <t>Evidence File</t>
  </si>
  <si>
    <t>Key Validated Content</t>
  </si>
  <si>
    <t>Final Role</t>
  </si>
  <si>
    <t>E-PBI-01</t>
  </si>
  <si>
    <t>01 MONITOR</t>
  </si>
  <si>
    <t>01_monitor.png</t>
  </si>
  <si>
    <t>51.15% NSR; 72.68% Reminder Coverage; 5,000 total; 4,737 observable; outcome counts; Reminder Status comparison</t>
  </si>
  <si>
    <t>Interactive operational exploration</t>
  </si>
  <si>
    <t>E-PBI-02</t>
  </si>
  <si>
    <t>02 DIAGNOSE</t>
  </si>
  <si>
    <t>02_diagnose.png</t>
  </si>
  <si>
    <t>Booking Lead Time primary; Previous NS supporting; evidence hierarchy and validated analytical reference view</t>
  </si>
  <si>
    <t>T03–T04; T08; T11</t>
  </si>
  <si>
    <t>Validated analytical evidence</t>
  </si>
  <si>
    <t>E-PBI-03</t>
  </si>
  <si>
    <t>03 PRIORITIZE</t>
  </si>
  <si>
    <t>03_prioritize.png</t>
  </si>
  <si>
    <t>34.52%, 45.62%, 59.07%, 70.52% matrix; prioritise/refine/test-and-measure actions; guardrail</t>
  </si>
  <si>
    <t>T05; T08; T12</t>
  </si>
  <si>
    <t>Validated decision support</t>
  </si>
  <si>
    <t>E-PBI-04</t>
  </si>
  <si>
    <t>Final Power BI file</t>
  </si>
  <si>
    <t>PBIX — submit current final file from local Power BI project</t>
  </si>
  <si>
    <t>All final measures, interactions and page architecture</t>
  </si>
  <si>
    <t>Supporting technical evidence</t>
  </si>
  <si>
    <t>PENDING ATTACHMENT</t>
  </si>
  <si>
    <t>WEEK 7 — BEFORE / AFTER &amp; RETEST EVIDENCE</t>
  </si>
  <si>
    <t>Only genuine Week 7 changes are documented. Successful tests with no issue are not manufactured into before/after stories.</t>
  </si>
  <si>
    <t>Area</t>
  </si>
  <si>
    <t>Before / Issue</t>
  </si>
  <si>
    <t>Action / Refinement</t>
  </si>
  <si>
    <t>Retest / After</t>
  </si>
  <si>
    <t>E-BA-01</t>
  </si>
  <si>
    <t>Dashboard filter context</t>
  </si>
  <si>
    <t>Filtered subgroup values were correct, but static global callouts could remain visible and be misread as subgroup conclusions.</t>
  </si>
  <si>
    <t>Removed context-vulnerable static callouts; MONITOR kept interactive; DIAGNOSE and PRIORITIZE converted to validated reference views; explicit page guidance added.</t>
  </si>
  <si>
    <t>Same scenarios retested. Values remained correct and page roles became context-consistent.</t>
  </si>
  <si>
    <t>E-BA-02</t>
  </si>
  <si>
    <t>Recommendation lifecycle</t>
  </si>
  <si>
    <t>Recommendations were evidence-based but did not make the post-action evaluation decision explicit enough.</t>
  </si>
  <si>
    <t>Added Monitoring KPI → Evaluation → Extend / Adjust / Stop after Decision → Action.</t>
  </si>
  <si>
    <t>Traceability reassessed; each recommendation now links evidence to action and evaluation.</t>
  </si>
  <si>
    <t>E-BA-03</t>
  </si>
  <si>
    <t>Appointment Type × Lead interpretation</t>
  </si>
  <si>
    <t>Follow-up had the largest descriptive lead-time gap (+28.73pp), which could invite a special rule.</t>
  </si>
  <si>
    <t>Formal interaction test performed; p≈.326 did not support a distinct interaction.</t>
  </si>
  <si>
    <t>No Follow-up-specific rule retained; broad Booking Lead Time signal preserved.</t>
  </si>
  <si>
    <t>E-BA-04</t>
  </si>
  <si>
    <t>Cross-track feature set</t>
  </si>
  <si>
    <t>long_lead_followup remained a candidate engineered feature after Week 6.</t>
  </si>
  <si>
    <t>Controlled DS ablation tested incremental out-of-sample value.</t>
  </si>
  <si>
    <t>Feature removed after no meaningful incremental value was demonstrated.</t>
  </si>
  <si>
    <t>WEEK 7 — GITHUB EVIDENCE REGISTER</t>
  </si>
  <si>
    <t>Repository: Nancy-Jennifer/healthconnect-experience-lab. Commit hashes/messages must be verified after the final Week 7 files are pushed; none are invented in this evidence pack.</t>
  </si>
  <si>
    <t>Expected Repository Evidence</t>
  </si>
  <si>
    <t>Suggested Commit Scope</t>
  </si>
  <si>
    <t>Commit Hash / URL</t>
  </si>
  <si>
    <t>Verification Status</t>
  </si>
  <si>
    <t>Note</t>
  </si>
  <si>
    <t>E-GH-01</t>
  </si>
  <si>
    <t>Main Week 7 Analytics Testing &amp; Refinement Report</t>
  </si>
  <si>
    <t>Add Week 7 main report/notebook</t>
  </si>
  <si>
    <t>TO VERIFY AFTER PUSH</t>
  </si>
  <si>
    <t>PENDING</t>
  </si>
  <si>
    <t>Record exact commit hash after upload.</t>
  </si>
  <si>
    <t>E-GH-02</t>
  </si>
  <si>
    <t>Week 7 Project Summary</t>
  </si>
  <si>
    <t>Add Week 7 project summary</t>
  </si>
  <si>
    <t>E-GH-03</t>
  </si>
  <si>
    <t>Testing &amp; Validation Evidence Pack / Record</t>
  </si>
  <si>
    <t>Add validated Week 7 evidence register</t>
  </si>
  <si>
    <t>E-GH-04</t>
  </si>
  <si>
    <t>Final dashboard screenshots</t>
  </si>
  <si>
    <t>Add MONITOR, DIAGNOSE, PRIORITIZE screenshots</t>
  </si>
  <si>
    <t>E-GH-05</t>
  </si>
  <si>
    <t>Cross-track validation evidence</t>
  </si>
  <si>
    <t>Add or reference Analytics × Data Science testing evidence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</si>
</sst>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0"/>
      <color rgb="FF17365D"/>
      <name val="Carlito"/>
    </font>
    <font>
      <b/>
      <sz val="11"/>
      <color rgb="FFFFFFFF"/>
      <name val="Carlito"/>
    </font>
    <font>
      <sz val="9"/>
      <color rgb="FF1F2937"/>
      <name val="Aptos"/>
    </font>
    <font>
      <b/>
      <sz val="12"/>
      <color rgb="FFFFFFFF"/>
      <name val="Aptos"/>
    </font>
    <font>
      <b/>
      <i/>
      <sz val="9"/>
      <color rgb="FF17365D"/>
      <name val="Aptos"/>
    </font>
    <font>
      <b/>
      <sz val="9"/>
      <color rgb="FFFFFFFF"/>
      <name val="Aptos"/>
    </font>
    <font>
      <b/>
      <sz val="9"/>
      <color rgb="FF17365D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3" fillId="4" borderId="0" xfId="0" applyFont="1" applyFill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vertical="top" wrapText="1"/>
    </xf>
    <xf numFmtId="0" fontId="7" fillId="5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5" fillId="5" borderId="0" xfId="0" applyFont="1" applyFill="1" applyAlignment="1">
      <alignment horizontal="left" vertical="top" wrapText="1"/>
    </xf>
    <xf numFmtId="0" fontId="6" fillId="6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5" fillId="5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5" fillId="5" borderId="0" xfId="0" applyFont="1" applyFill="1" applyAlignment="1">
      <alignment wrapText="1"/>
    </xf>
    <xf numFmtId="0" fontId="8" fillId="6" borderId="0" xfId="0" applyFont="1" applyFill="1" applyAlignment="1">
      <alignment wrapText="1"/>
    </xf>
    <xf numFmtId="0" fontId="7" fillId="7" borderId="0" xfId="0" applyFont="1" applyFill="1" applyAlignment="1">
      <alignment wrapText="1"/>
    </xf>
  </cellXfs>
  <cellStyles count="1">
    <cellStyle name="Normal" xfId="0" builtinId="0"/>
  </cellStyles>
  <dxfs count="15"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</font>
      <fill>
        <patternFill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  <color rgb="FF2E7D32"/>
      </font>
      <fill>
        <patternFill patternType="solid"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E2F0D9"/>
        </patternFill>
      </fill>
    </dxf>
    <dxf>
      <font>
        <b/>
      </font>
      <fill>
        <patternFill>
          <bgColor rgb="FFFFF2CC"/>
        </patternFill>
      </fill>
    </dxf>
    <dxf>
      <font>
        <b/>
        <color rgb="FFC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7TestRegister" displayName="Week7TestRegister" ref="A4:P18" totalsRowShown="0">
  <tableColumns count="16">
    <tableColumn id="1" xr3:uid="{00000000-0010-0000-0000-000001000000}" name="Test ID"/>
    <tableColumn id="2" xr3:uid="{00000000-0010-0000-0000-000002000000}" name="Priority"/>
    <tableColumn id="3" xr3:uid="{00000000-0010-0000-0000-000003000000}" name="Test Type"/>
    <tableColumn id="4" xr3:uid="{00000000-0010-0000-0000-000004000000}" name="Component Tested"/>
    <tableColumn id="5" xr3:uid="{00000000-0010-0000-0000-000005000000}" name="Testing Objective"/>
    <tableColumn id="6" xr3:uid="{00000000-0010-0000-0000-000006000000}" name="Test / Scenario"/>
    <tableColumn id="7" xr3:uid="{00000000-0010-0000-0000-000007000000}" name="Expected Result"/>
    <tableColumn id="8" xr3:uid="{00000000-0010-0000-0000-000008000000}" name="Acceptance Criterion"/>
    <tableColumn id="9" xr3:uid="{00000000-0010-0000-0000-000009000000}" name="Actual Result"/>
    <tableColumn id="10" xr3:uid="{00000000-0010-0000-0000-00000A000000}" name="Pass / Fail"/>
    <tableColumn id="11" xr3:uid="{00000000-0010-0000-0000-00000B000000}" name="Issue Identified"/>
    <tableColumn id="12" xr3:uid="{00000000-0010-0000-0000-00000C000000}" name="Action Taken"/>
    <tableColumn id="13" xr3:uid="{00000000-0010-0000-0000-00000D000000}" name="Retest Result"/>
    <tableColumn id="14" xr3:uid="{00000000-0010-0000-0000-00000E000000}" name="Collaborating Track"/>
    <tableColumn id="15" xr3:uid="{00000000-0010-0000-0000-00000F000000}" name="Evidence"/>
    <tableColumn id="16" xr3:uid="{00000000-0010-0000-0000-000010000000}" name="Final Valid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7EvidenceRegister" displayName="Week7EvidenceRegister" ref="A4:H18" totalsRowShown="0">
  <tableColumns count="8">
    <tableColumn id="1" xr3:uid="{00000000-0010-0000-0100-000001000000}" name="Evidence ID"/>
    <tableColumn id="2" xr3:uid="{00000000-0010-0000-0100-000002000000}" name="Test ID"/>
    <tableColumn id="3" xr3:uid="{00000000-0010-0000-0100-000003000000}" name="Evidence Description"/>
    <tableColumn id="4" xr3:uid="{00000000-0010-0000-0100-000004000000}" name="Evidence Type"/>
    <tableColumn id="5" xr3:uid="{00000000-0010-0000-0100-000005000000}" name="File / Location"/>
    <tableColumn id="6" xr3:uid="{00000000-0010-0000-0100-000006000000}" name="Date"/>
    <tableColumn id="7" xr3:uid="{00000000-0010-0000-0100-000007000000}" name="Validation Note"/>
    <tableColumn id="8" xr3:uid="{00000000-0010-0000-0100-000008000000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Week7CrossTrackRegister" displayName="Week7CrossTrackRegister" ref="A4:N5" totalsRowShown="0">
  <tableColumns count="14">
    <tableColumn id="1" xr3:uid="{00000000-0010-0000-0200-000001000000}" name="Cross-Test ID"/>
    <tableColumn id="2" xr3:uid="{00000000-0010-0000-0200-000002000000}" name="Track Collaborated With"/>
    <tableColumn id="3" xr3:uid="{00000000-0010-0000-0200-000003000000}" name="Project Dependency"/>
    <tableColumn id="4" xr3:uid="{00000000-0010-0000-0200-000004000000}" name="Component / Output Tested"/>
    <tableColumn id="5" xr3:uid="{00000000-0010-0000-0200-000005000000}" name="Information / Output Received"/>
    <tableColumn id="6" xr3:uid="{00000000-0010-0000-0200-000006000000}" name="Information / Output Provided"/>
    <tableColumn id="7" xr3:uid="{00000000-0010-0000-0200-000007000000}" name="Testing Activity Completed"/>
    <tableColumn id="8" xr3:uid="{00000000-0010-0000-0200-000008000000}" name="Issue / Finding Identified"/>
    <tableColumn id="9" xr3:uid="{00000000-0010-0000-0200-000009000000}" name="Refinement / Action Taken"/>
    <tableColumn id="10" xr3:uid="{00000000-0010-0000-0200-00000A000000}" name="Retest Result"/>
    <tableColumn id="11" xr3:uid="{00000000-0010-0000-0200-00000B000000}" name="What Changed as a Result"/>
    <tableColumn id="12" xr3:uid="{00000000-0010-0000-0200-00000C000000}" name="Evidence"/>
    <tableColumn id="13" xr3:uid="{00000000-0010-0000-0200-00000D000000}" name="HealthConnect Improvement"/>
    <tableColumn id="14" xr3:uid="{00000000-0010-0000-0200-00000E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Week8ReadinessRegister" displayName="Week8ReadinessRegister" ref="A4:H10" totalsRowShown="0">
  <tableColumns count="8">
    <tableColumn id="1" xr3:uid="{00000000-0010-0000-0300-000001000000}" name="Readiness ID"/>
    <tableColumn id="2" xr3:uid="{00000000-0010-0000-0300-000002000000}" name="Source Test ID"/>
    <tableColumn id="3" xr3:uid="{00000000-0010-0000-0300-000003000000}" name="Category"/>
    <tableColumn id="4" xr3:uid="{00000000-0010-0000-0300-000004000000}" name="Validated / Remaining Item"/>
    <tableColumn id="5" xr3:uid="{00000000-0010-0000-0300-000005000000}" name="Impact on Week 8"/>
    <tableColumn id="6" xr3:uid="{00000000-0010-0000-0300-000006000000}" name="Required Action"/>
    <tableColumn id="7" xr3:uid="{00000000-0010-0000-0300-000007000000}" name="Owner / Track"/>
    <tableColumn id="8" xr3:uid="{00000000-0010-0000-0300-000008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sqref="A1:P1"/>
    </sheetView>
  </sheetViews>
  <sheetFormatPr baseColWidth="10" defaultColWidth="9" defaultRowHeight="14.25"/>
  <cols>
    <col min="1" max="2" width="8" customWidth="1"/>
    <col min="3" max="3" width="20" customWidth="1"/>
    <col min="4" max="4" width="24" customWidth="1"/>
    <col min="5" max="5" width="34" customWidth="1"/>
    <col min="6" max="6" width="38" customWidth="1"/>
    <col min="7" max="7" width="36" customWidth="1"/>
    <col min="8" max="8" width="38" customWidth="1"/>
    <col min="9" max="9" width="42" customWidth="1"/>
    <col min="10" max="10" width="11" customWidth="1"/>
    <col min="11" max="11" width="34" customWidth="1"/>
    <col min="12" max="13" width="38" customWidth="1"/>
    <col min="14" max="14" width="18" customWidth="1"/>
    <col min="15" max="15" width="22" customWidth="1"/>
    <col min="16" max="16" width="24" customWidth="1"/>
  </cols>
  <sheetData>
    <row r="1" spans="1:16" ht="24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20.100000000000001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ht="3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  <c r="K4" s="5" t="s">
        <v>12</v>
      </c>
      <c r="L4" s="5" t="s">
        <v>13</v>
      </c>
      <c r="M4" s="5" t="s">
        <v>14</v>
      </c>
      <c r="N4" s="5" t="s">
        <v>15</v>
      </c>
      <c r="O4" s="5" t="s">
        <v>16</v>
      </c>
      <c r="P4" s="5" t="s">
        <v>17</v>
      </c>
    </row>
    <row r="5" spans="1:16" ht="36">
      <c r="A5" s="3" t="s">
        <v>18</v>
      </c>
      <c r="B5" s="3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3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spans="1:16" ht="24">
      <c r="A6" s="3" t="s">
        <v>34</v>
      </c>
      <c r="B6" s="3" t="s">
        <v>19</v>
      </c>
      <c r="C6" s="4" t="s">
        <v>20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  <c r="J6" s="3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41</v>
      </c>
      <c r="P6" s="4" t="s">
        <v>33</v>
      </c>
    </row>
    <row r="7" spans="1:16" ht="36">
      <c r="A7" s="3" t="s">
        <v>42</v>
      </c>
      <c r="B7" s="3" t="s">
        <v>19</v>
      </c>
      <c r="C7" s="4" t="s">
        <v>43</v>
      </c>
      <c r="D7" s="4" t="s">
        <v>44</v>
      </c>
      <c r="E7" s="4" t="s">
        <v>45</v>
      </c>
      <c r="F7" s="4" t="s">
        <v>46</v>
      </c>
      <c r="G7" s="4" t="s">
        <v>47</v>
      </c>
      <c r="H7" s="4" t="s">
        <v>48</v>
      </c>
      <c r="I7" s="4" t="s">
        <v>49</v>
      </c>
      <c r="J7" s="3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50</v>
      </c>
      <c r="P7" s="4" t="s">
        <v>33</v>
      </c>
    </row>
    <row r="8" spans="1:16" ht="24">
      <c r="A8" s="3" t="s">
        <v>51</v>
      </c>
      <c r="B8" s="3" t="s">
        <v>19</v>
      </c>
      <c r="C8" s="4" t="s">
        <v>43</v>
      </c>
      <c r="D8" s="4" t="s">
        <v>52</v>
      </c>
      <c r="E8" s="4" t="s">
        <v>53</v>
      </c>
      <c r="F8" s="4" t="s">
        <v>54</v>
      </c>
      <c r="G8" s="4" t="s">
        <v>55</v>
      </c>
      <c r="H8" s="4" t="s">
        <v>56</v>
      </c>
      <c r="I8" s="4" t="s">
        <v>57</v>
      </c>
      <c r="J8" s="3" t="s">
        <v>27</v>
      </c>
      <c r="K8" s="4" t="s">
        <v>28</v>
      </c>
      <c r="L8" s="4" t="s">
        <v>58</v>
      </c>
      <c r="M8" s="4" t="s">
        <v>30</v>
      </c>
      <c r="N8" s="4" t="s">
        <v>31</v>
      </c>
      <c r="O8" s="4" t="s">
        <v>59</v>
      </c>
      <c r="P8" s="4" t="s">
        <v>60</v>
      </c>
    </row>
    <row r="9" spans="1:16" ht="36">
      <c r="A9" s="3" t="s">
        <v>61</v>
      </c>
      <c r="B9" s="3" t="s">
        <v>19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67</v>
      </c>
      <c r="I9" s="4" t="s">
        <v>68</v>
      </c>
      <c r="J9" s="3" t="s">
        <v>27</v>
      </c>
      <c r="K9" s="4" t="s">
        <v>28</v>
      </c>
      <c r="L9" s="4" t="s">
        <v>69</v>
      </c>
      <c r="M9" s="4" t="s">
        <v>30</v>
      </c>
      <c r="N9" s="4" t="s">
        <v>31</v>
      </c>
      <c r="O9" s="4" t="s">
        <v>70</v>
      </c>
      <c r="P9" s="4" t="s">
        <v>33</v>
      </c>
    </row>
    <row r="10" spans="1:16" ht="36">
      <c r="A10" s="3" t="s">
        <v>71</v>
      </c>
      <c r="B10" s="3" t="s">
        <v>19</v>
      </c>
      <c r="C10" s="4" t="s">
        <v>72</v>
      </c>
      <c r="D10" s="4" t="s">
        <v>73</v>
      </c>
      <c r="E10" s="4" t="s">
        <v>74</v>
      </c>
      <c r="F10" s="4" t="s">
        <v>75</v>
      </c>
      <c r="G10" s="4" t="s">
        <v>76</v>
      </c>
      <c r="H10" s="4" t="s">
        <v>77</v>
      </c>
      <c r="I10" s="4" t="s">
        <v>78</v>
      </c>
      <c r="J10" s="3" t="s">
        <v>27</v>
      </c>
      <c r="K10" s="4" t="s">
        <v>28</v>
      </c>
      <c r="L10" s="4" t="s">
        <v>29</v>
      </c>
      <c r="M10" s="4" t="s">
        <v>30</v>
      </c>
      <c r="N10" s="4" t="s">
        <v>31</v>
      </c>
      <c r="O10" s="4" t="s">
        <v>79</v>
      </c>
      <c r="P10" s="4" t="s">
        <v>33</v>
      </c>
    </row>
    <row r="11" spans="1:16" ht="48">
      <c r="A11" s="3" t="s">
        <v>80</v>
      </c>
      <c r="B11" s="3" t="s">
        <v>19</v>
      </c>
      <c r="C11" s="4" t="s">
        <v>81</v>
      </c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  <c r="I11" s="4" t="s">
        <v>87</v>
      </c>
      <c r="J11" s="3" t="s">
        <v>27</v>
      </c>
      <c r="K11" s="4" t="s">
        <v>88</v>
      </c>
      <c r="L11" s="4" t="s">
        <v>89</v>
      </c>
      <c r="M11" s="4" t="s">
        <v>90</v>
      </c>
      <c r="N11" s="4" t="s">
        <v>31</v>
      </c>
      <c r="O11" s="4" t="s">
        <v>91</v>
      </c>
      <c r="P11" s="4" t="s">
        <v>92</v>
      </c>
    </row>
    <row r="12" spans="1:16" ht="36">
      <c r="A12" s="3" t="s">
        <v>93</v>
      </c>
      <c r="B12" s="3" t="s">
        <v>19</v>
      </c>
      <c r="C12" s="4" t="s">
        <v>94</v>
      </c>
      <c r="D12" s="4" t="s">
        <v>95</v>
      </c>
      <c r="E12" s="4" t="s">
        <v>96</v>
      </c>
      <c r="F12" s="4" t="s">
        <v>97</v>
      </c>
      <c r="G12" s="4" t="s">
        <v>98</v>
      </c>
      <c r="H12" s="4" t="s">
        <v>99</v>
      </c>
      <c r="I12" s="4" t="s">
        <v>100</v>
      </c>
      <c r="J12" s="3" t="s">
        <v>27</v>
      </c>
      <c r="K12" s="4" t="s">
        <v>101</v>
      </c>
      <c r="L12" s="4" t="s">
        <v>102</v>
      </c>
      <c r="M12" s="4" t="s">
        <v>103</v>
      </c>
      <c r="N12" s="4" t="s">
        <v>31</v>
      </c>
      <c r="O12" s="4" t="s">
        <v>104</v>
      </c>
      <c r="P12" s="4" t="s">
        <v>92</v>
      </c>
    </row>
    <row r="13" spans="1:16" ht="24">
      <c r="A13" s="3" t="s">
        <v>105</v>
      </c>
      <c r="B13" s="3" t="s">
        <v>106</v>
      </c>
      <c r="C13" s="4" t="s">
        <v>107</v>
      </c>
      <c r="D13" s="4" t="s">
        <v>108</v>
      </c>
      <c r="E13" s="4" t="s">
        <v>109</v>
      </c>
      <c r="F13" s="4" t="s">
        <v>110</v>
      </c>
      <c r="G13" s="4" t="s">
        <v>111</v>
      </c>
      <c r="H13" s="4" t="s">
        <v>112</v>
      </c>
      <c r="I13" s="4" t="s">
        <v>113</v>
      </c>
      <c r="J13" s="3" t="s">
        <v>27</v>
      </c>
      <c r="K13" s="4" t="s">
        <v>28</v>
      </c>
      <c r="L13" s="4" t="s">
        <v>114</v>
      </c>
      <c r="M13" s="4" t="s">
        <v>30</v>
      </c>
      <c r="N13" s="4" t="s">
        <v>31</v>
      </c>
      <c r="O13" s="4" t="s">
        <v>115</v>
      </c>
      <c r="P13" s="4" t="s">
        <v>60</v>
      </c>
    </row>
    <row r="14" spans="1:16" ht="36">
      <c r="A14" s="3" t="s">
        <v>116</v>
      </c>
      <c r="B14" s="3" t="s">
        <v>106</v>
      </c>
      <c r="C14" s="4" t="s">
        <v>117</v>
      </c>
      <c r="D14" s="4" t="s">
        <v>118</v>
      </c>
      <c r="E14" s="4" t="s">
        <v>119</v>
      </c>
      <c r="F14" s="4" t="s">
        <v>120</v>
      </c>
      <c r="G14" s="4" t="s">
        <v>121</v>
      </c>
      <c r="H14" s="4" t="s">
        <v>122</v>
      </c>
      <c r="I14" s="4" t="s">
        <v>123</v>
      </c>
      <c r="J14" s="3" t="s">
        <v>27</v>
      </c>
      <c r="K14" s="4" t="s">
        <v>28</v>
      </c>
      <c r="L14" s="4" t="s">
        <v>124</v>
      </c>
      <c r="M14" s="4" t="s">
        <v>30</v>
      </c>
      <c r="N14" s="4" t="s">
        <v>125</v>
      </c>
      <c r="O14" s="4" t="s">
        <v>126</v>
      </c>
      <c r="P14" s="4" t="s">
        <v>60</v>
      </c>
    </row>
    <row r="15" spans="1:16" ht="48">
      <c r="A15" s="3" t="s">
        <v>127</v>
      </c>
      <c r="B15" s="3" t="s">
        <v>106</v>
      </c>
      <c r="C15" s="4" t="s">
        <v>128</v>
      </c>
      <c r="D15" s="4" t="s">
        <v>129</v>
      </c>
      <c r="E15" s="4" t="s">
        <v>130</v>
      </c>
      <c r="F15" s="4" t="s">
        <v>131</v>
      </c>
      <c r="G15" s="4" t="s">
        <v>132</v>
      </c>
      <c r="H15" s="4" t="s">
        <v>133</v>
      </c>
      <c r="I15" s="4" t="s">
        <v>134</v>
      </c>
      <c r="J15" s="3" t="s">
        <v>27</v>
      </c>
      <c r="K15" s="4" t="s">
        <v>135</v>
      </c>
      <c r="L15" s="4" t="s">
        <v>136</v>
      </c>
      <c r="M15" s="4" t="s">
        <v>137</v>
      </c>
      <c r="N15" s="4" t="s">
        <v>138</v>
      </c>
      <c r="O15" s="4" t="s">
        <v>139</v>
      </c>
      <c r="P15" s="4" t="s">
        <v>33</v>
      </c>
    </row>
    <row r="16" spans="1:16" ht="36">
      <c r="A16" s="3" t="s">
        <v>140</v>
      </c>
      <c r="B16" s="3" t="s">
        <v>106</v>
      </c>
      <c r="C16" s="4" t="s">
        <v>141</v>
      </c>
      <c r="D16" s="4" t="s">
        <v>142</v>
      </c>
      <c r="E16" s="4" t="s">
        <v>143</v>
      </c>
      <c r="F16" s="4" t="s">
        <v>144</v>
      </c>
      <c r="G16" s="4" t="s">
        <v>145</v>
      </c>
      <c r="H16" s="4" t="s">
        <v>146</v>
      </c>
      <c r="I16" s="4" t="s">
        <v>147</v>
      </c>
      <c r="J16" s="3" t="s">
        <v>27</v>
      </c>
      <c r="K16" s="4" t="s">
        <v>148</v>
      </c>
      <c r="L16" s="4" t="s">
        <v>149</v>
      </c>
      <c r="M16" s="4" t="s">
        <v>150</v>
      </c>
      <c r="N16" s="4" t="s">
        <v>31</v>
      </c>
      <c r="O16" s="4" t="s">
        <v>151</v>
      </c>
      <c r="P16" s="4" t="s">
        <v>92</v>
      </c>
    </row>
    <row r="17" spans="1:16" ht="36">
      <c r="A17" s="3" t="s">
        <v>152</v>
      </c>
      <c r="B17" s="3" t="s">
        <v>153</v>
      </c>
      <c r="C17" s="4" t="s">
        <v>154</v>
      </c>
      <c r="D17" s="4" t="s">
        <v>155</v>
      </c>
      <c r="E17" s="4" t="s">
        <v>156</v>
      </c>
      <c r="F17" s="4" t="s">
        <v>157</v>
      </c>
      <c r="G17" s="4" t="s">
        <v>158</v>
      </c>
      <c r="H17" s="4" t="s">
        <v>159</v>
      </c>
      <c r="I17" s="4" t="s">
        <v>160</v>
      </c>
      <c r="J17" s="3" t="s">
        <v>27</v>
      </c>
      <c r="K17" s="4" t="s">
        <v>28</v>
      </c>
      <c r="L17" s="4" t="s">
        <v>161</v>
      </c>
      <c r="M17" s="4" t="s">
        <v>162</v>
      </c>
      <c r="N17" s="4" t="s">
        <v>31</v>
      </c>
      <c r="O17" s="4" t="s">
        <v>163</v>
      </c>
      <c r="P17" s="4" t="s">
        <v>33</v>
      </c>
    </row>
    <row r="18" spans="1:16" ht="24">
      <c r="A18" s="3" t="s">
        <v>164</v>
      </c>
      <c r="B18" s="3" t="s">
        <v>153</v>
      </c>
      <c r="C18" s="4" t="s">
        <v>165</v>
      </c>
      <c r="D18" s="4" t="s">
        <v>166</v>
      </c>
      <c r="E18" s="4" t="s">
        <v>167</v>
      </c>
      <c r="F18" s="4" t="s">
        <v>168</v>
      </c>
      <c r="G18" s="4" t="s">
        <v>169</v>
      </c>
      <c r="H18" s="4" t="s">
        <v>170</v>
      </c>
      <c r="I18" s="4" t="s">
        <v>171</v>
      </c>
      <c r="J18" s="3" t="s">
        <v>27</v>
      </c>
      <c r="K18" s="4" t="s">
        <v>28</v>
      </c>
      <c r="L18" s="4" t="s">
        <v>172</v>
      </c>
      <c r="M18" s="4" t="s">
        <v>162</v>
      </c>
      <c r="N18" s="4" t="s">
        <v>31</v>
      </c>
      <c r="O18" s="4" t="s">
        <v>173</v>
      </c>
      <c r="P18" s="4" t="s">
        <v>60</v>
      </c>
    </row>
  </sheetData>
  <mergeCells count="2">
    <mergeCell ref="A1:P1"/>
    <mergeCell ref="A2:P2"/>
  </mergeCells>
  <conditionalFormatting sqref="B5:B18">
    <cfRule type="expression" dxfId="14" priority="1">
      <formula>B5="P1"</formula>
    </cfRule>
    <cfRule type="expression" dxfId="13" priority="2">
      <formula>B5="P2"</formula>
    </cfRule>
    <cfRule type="expression" dxfId="12" priority="3">
      <formula>B5="P3"</formula>
    </cfRule>
  </conditionalFormatting>
  <conditionalFormatting sqref="J5:J18">
    <cfRule type="expression" dxfId="11" priority="4">
      <formula>J5="PASS"</formula>
    </cfRule>
    <cfRule type="expression" dxfId="10" priority="5">
      <formula>J5="FAIL"</formula>
    </cfRule>
    <cfRule type="expression" dxfId="9" priority="6">
      <formula>J5="INCONCLUSIVE"</formula>
    </cfRule>
  </conditionalFormatting>
  <conditionalFormatting sqref="P5:P18">
    <cfRule type="expression" dxfId="8" priority="7">
      <formula>OR(ISNUMBER(SEARCH("VALIDATED",P5)),ISNUMBER(SEARCH("RESOLVED",P5)),ISNUMBER(SEARCH("PASS",P5)))</formula>
    </cfRule>
  </conditionalFormatting>
  <dataValidations count="3">
    <dataValidation type="list" sqref="B5:B18" xr:uid="{00000000-0002-0000-0000-000000000000}">
      <formula1>"P1,P2,P3"</formula1>
    </dataValidation>
    <dataValidation type="list" sqref="J5:J18" xr:uid="{00000000-0002-0000-0000-000001000000}">
      <formula1>"Pending,PASS,FAIL,INCONCLUSIVE"</formula1>
    </dataValidation>
    <dataValidation type="list" sqref="P5:P18" xr:uid="{00000000-0002-0000-0000-000002000000}">
      <formula1>"NOT STARTED,VALIDATED,VALIDATED WITH LIMITATION,REFINED &amp; VALIDATED,NOT VALIDATED,INCONCLUSIVE"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workbookViewId="0"/>
  </sheetViews>
  <sheetFormatPr baseColWidth="10" defaultColWidth="9" defaultRowHeight="14.25"/>
  <cols>
    <col min="1" max="1" width="13" customWidth="1"/>
    <col min="2" max="2" width="9" customWidth="1"/>
    <col min="3" max="3" width="35" customWidth="1"/>
    <col min="4" max="4" width="22" customWidth="1"/>
    <col min="5" max="5" width="30" customWidth="1"/>
    <col min="6" max="6" width="13" customWidth="1"/>
    <col min="7" max="7" width="36" customWidth="1"/>
    <col min="8" max="8" width="24" customWidth="1"/>
  </cols>
  <sheetData>
    <row r="1" spans="1:8" ht="24" customHeight="1">
      <c r="A1" s="8" t="s">
        <v>174</v>
      </c>
      <c r="B1" s="8"/>
      <c r="C1" s="8"/>
      <c r="D1" s="8"/>
      <c r="E1" s="8"/>
      <c r="F1" s="8"/>
      <c r="G1" s="8"/>
      <c r="H1" s="8"/>
    </row>
    <row r="2" spans="1:8" ht="20.100000000000001" customHeight="1">
      <c r="A2" s="9" t="s">
        <v>175</v>
      </c>
      <c r="B2" s="9"/>
      <c r="C2" s="9"/>
      <c r="D2" s="9"/>
      <c r="E2" s="9"/>
      <c r="F2" s="9"/>
      <c r="G2" s="9"/>
      <c r="H2" s="9"/>
    </row>
    <row r="3" spans="1:8">
      <c r="A3" s="4"/>
      <c r="B3" s="4"/>
      <c r="C3" s="4"/>
      <c r="D3" s="4"/>
      <c r="E3" s="4"/>
      <c r="F3" s="4"/>
      <c r="G3" s="4"/>
      <c r="H3" s="4"/>
    </row>
    <row r="4" spans="1:8" ht="30" customHeight="1">
      <c r="A4" s="5" t="s">
        <v>176</v>
      </c>
      <c r="B4" s="5" t="s">
        <v>2</v>
      </c>
      <c r="C4" s="5" t="s">
        <v>177</v>
      </c>
      <c r="D4" s="5" t="s">
        <v>178</v>
      </c>
      <c r="E4" s="5" t="s">
        <v>179</v>
      </c>
      <c r="F4" s="5" t="s">
        <v>180</v>
      </c>
      <c r="G4" s="5" t="s">
        <v>181</v>
      </c>
      <c r="H4" s="5" t="s">
        <v>182</v>
      </c>
    </row>
    <row r="5" spans="1:8" ht="24">
      <c r="A5" s="4" t="s">
        <v>183</v>
      </c>
      <c r="B5" s="4" t="s">
        <v>18</v>
      </c>
      <c r="C5" s="4" t="s">
        <v>184</v>
      </c>
      <c r="D5" s="4" t="s">
        <v>185</v>
      </c>
      <c r="E5" s="4" t="s">
        <v>186</v>
      </c>
      <c r="F5" s="4" t="s">
        <v>187</v>
      </c>
      <c r="G5" s="4" t="s">
        <v>188</v>
      </c>
      <c r="H5" s="4" t="s">
        <v>33</v>
      </c>
    </row>
    <row r="6" spans="1:8">
      <c r="A6" s="4" t="s">
        <v>189</v>
      </c>
      <c r="B6" s="4" t="s">
        <v>34</v>
      </c>
      <c r="C6" s="4" t="s">
        <v>190</v>
      </c>
      <c r="D6" s="4" t="s">
        <v>185</v>
      </c>
      <c r="E6" s="4" t="s">
        <v>191</v>
      </c>
      <c r="F6" s="4" t="s">
        <v>187</v>
      </c>
      <c r="G6" s="4" t="s">
        <v>192</v>
      </c>
      <c r="H6" s="4" t="s">
        <v>33</v>
      </c>
    </row>
    <row r="7" spans="1:8">
      <c r="A7" s="4" t="s">
        <v>193</v>
      </c>
      <c r="B7" s="4" t="s">
        <v>42</v>
      </c>
      <c r="C7" s="4" t="s">
        <v>194</v>
      </c>
      <c r="D7" s="4" t="s">
        <v>185</v>
      </c>
      <c r="E7" s="4" t="s">
        <v>195</v>
      </c>
      <c r="F7" s="4" t="s">
        <v>187</v>
      </c>
      <c r="G7" s="4" t="s">
        <v>196</v>
      </c>
      <c r="H7" s="4" t="s">
        <v>33</v>
      </c>
    </row>
    <row r="8" spans="1:8">
      <c r="A8" s="4" t="s">
        <v>197</v>
      </c>
      <c r="B8" s="4" t="s">
        <v>51</v>
      </c>
      <c r="C8" s="4" t="s">
        <v>198</v>
      </c>
      <c r="D8" s="4" t="s">
        <v>185</v>
      </c>
      <c r="E8" s="4" t="s">
        <v>199</v>
      </c>
      <c r="F8" s="4" t="s">
        <v>187</v>
      </c>
      <c r="G8" s="4" t="s">
        <v>200</v>
      </c>
      <c r="H8" s="4" t="s">
        <v>33</v>
      </c>
    </row>
    <row r="9" spans="1:8">
      <c r="A9" s="4" t="s">
        <v>201</v>
      </c>
      <c r="B9" s="4" t="s">
        <v>61</v>
      </c>
      <c r="C9" s="4" t="s">
        <v>202</v>
      </c>
      <c r="D9" s="4" t="s">
        <v>185</v>
      </c>
      <c r="E9" s="4" t="s">
        <v>203</v>
      </c>
      <c r="F9" s="4" t="s">
        <v>187</v>
      </c>
      <c r="G9" s="4" t="s">
        <v>204</v>
      </c>
      <c r="H9" s="4" t="s">
        <v>33</v>
      </c>
    </row>
    <row r="10" spans="1:8" ht="24">
      <c r="A10" s="4" t="s">
        <v>205</v>
      </c>
      <c r="B10" s="4" t="s">
        <v>71</v>
      </c>
      <c r="C10" s="4" t="s">
        <v>206</v>
      </c>
      <c r="D10" s="4" t="s">
        <v>207</v>
      </c>
      <c r="E10" s="4" t="s">
        <v>208</v>
      </c>
      <c r="F10" s="4" t="s">
        <v>187</v>
      </c>
      <c r="G10" s="4" t="s">
        <v>209</v>
      </c>
      <c r="H10" s="4" t="s">
        <v>33</v>
      </c>
    </row>
    <row r="11" spans="1:8">
      <c r="A11" s="4" t="s">
        <v>210</v>
      </c>
      <c r="B11" s="4" t="s">
        <v>80</v>
      </c>
      <c r="C11" s="4" t="s">
        <v>211</v>
      </c>
      <c r="D11" s="4" t="s">
        <v>212</v>
      </c>
      <c r="E11" s="4" t="s">
        <v>213</v>
      </c>
      <c r="F11" s="4" t="s">
        <v>187</v>
      </c>
      <c r="G11" s="4" t="s">
        <v>214</v>
      </c>
      <c r="H11" s="4" t="s">
        <v>92</v>
      </c>
    </row>
    <row r="12" spans="1:8" ht="24">
      <c r="A12" s="4" t="s">
        <v>215</v>
      </c>
      <c r="B12" s="4" t="s">
        <v>93</v>
      </c>
      <c r="C12" s="4" t="s">
        <v>216</v>
      </c>
      <c r="D12" s="4" t="s">
        <v>217</v>
      </c>
      <c r="E12" s="4" t="s">
        <v>218</v>
      </c>
      <c r="F12" s="4" t="s">
        <v>187</v>
      </c>
      <c r="G12" s="4" t="s">
        <v>219</v>
      </c>
      <c r="H12" s="4" t="s">
        <v>92</v>
      </c>
    </row>
    <row r="13" spans="1:8">
      <c r="A13" s="4" t="s">
        <v>220</v>
      </c>
      <c r="B13" s="4" t="s">
        <v>105</v>
      </c>
      <c r="C13" s="4" t="s">
        <v>221</v>
      </c>
      <c r="D13" s="4" t="s">
        <v>185</v>
      </c>
      <c r="E13" s="4" t="s">
        <v>222</v>
      </c>
      <c r="F13" s="4" t="s">
        <v>187</v>
      </c>
      <c r="G13" s="4" t="s">
        <v>223</v>
      </c>
      <c r="H13" s="4" t="s">
        <v>60</v>
      </c>
    </row>
    <row r="14" spans="1:8" ht="24">
      <c r="A14" s="4" t="s">
        <v>224</v>
      </c>
      <c r="B14" s="4" t="s">
        <v>116</v>
      </c>
      <c r="C14" s="4" t="s">
        <v>225</v>
      </c>
      <c r="D14" s="4" t="s">
        <v>185</v>
      </c>
      <c r="E14" s="4" t="s">
        <v>226</v>
      </c>
      <c r="F14" s="4" t="s">
        <v>187</v>
      </c>
      <c r="G14" s="4" t="s">
        <v>227</v>
      </c>
      <c r="H14" s="4" t="s">
        <v>60</v>
      </c>
    </row>
    <row r="15" spans="1:8">
      <c r="A15" s="4" t="s">
        <v>228</v>
      </c>
      <c r="B15" s="4" t="s">
        <v>127</v>
      </c>
      <c r="C15" s="4" t="s">
        <v>229</v>
      </c>
      <c r="D15" s="4" t="s">
        <v>230</v>
      </c>
      <c r="E15" s="4" t="s">
        <v>231</v>
      </c>
      <c r="F15" s="4" t="s">
        <v>187</v>
      </c>
      <c r="G15" s="4" t="s">
        <v>232</v>
      </c>
      <c r="H15" s="4" t="s">
        <v>33</v>
      </c>
    </row>
    <row r="16" spans="1:8">
      <c r="A16" s="4" t="s">
        <v>233</v>
      </c>
      <c r="B16" s="4" t="s">
        <v>140</v>
      </c>
      <c r="C16" s="4" t="s">
        <v>234</v>
      </c>
      <c r="D16" s="4" t="s">
        <v>235</v>
      </c>
      <c r="E16" s="4" t="s">
        <v>236</v>
      </c>
      <c r="F16" s="4" t="s">
        <v>187</v>
      </c>
      <c r="G16" s="4" t="s">
        <v>237</v>
      </c>
      <c r="H16" s="4" t="s">
        <v>92</v>
      </c>
    </row>
    <row r="17" spans="1:8">
      <c r="A17" s="4" t="s">
        <v>238</v>
      </c>
      <c r="B17" s="4" t="s">
        <v>152</v>
      </c>
      <c r="C17" s="4" t="s">
        <v>239</v>
      </c>
      <c r="D17" s="4" t="s">
        <v>240</v>
      </c>
      <c r="E17" s="4" t="s">
        <v>241</v>
      </c>
      <c r="F17" s="4" t="s">
        <v>187</v>
      </c>
      <c r="G17" s="4" t="s">
        <v>242</v>
      </c>
      <c r="H17" s="4" t="s">
        <v>33</v>
      </c>
    </row>
    <row r="18" spans="1:8" ht="24">
      <c r="A18" s="4" t="s">
        <v>243</v>
      </c>
      <c r="B18" s="4" t="s">
        <v>164</v>
      </c>
      <c r="C18" s="4" t="s">
        <v>244</v>
      </c>
      <c r="D18" s="4" t="s">
        <v>240</v>
      </c>
      <c r="E18" s="4" t="s">
        <v>245</v>
      </c>
      <c r="F18" s="4" t="s">
        <v>187</v>
      </c>
      <c r="G18" s="4" t="s">
        <v>246</v>
      </c>
      <c r="H18" s="4" t="s">
        <v>60</v>
      </c>
    </row>
  </sheetData>
  <mergeCells count="2">
    <mergeCell ref="A1:H1"/>
    <mergeCell ref="A2:H2"/>
  </mergeCells>
  <conditionalFormatting sqref="H5:H18">
    <cfRule type="expression" dxfId="7" priority="2">
      <formula>OR(ISNUMBER(SEARCH("VALIDATED",H5)),ISNUMBER(SEARCH("RESOLVED",H5)),ISNUMBER(SEARCH("PASS",H5)))</formula>
    </cfRule>
  </conditionalFormatting>
  <conditionalFormatting sqref="H5:H100">
    <cfRule type="expression" dxfId="6" priority="1">
      <formula>H5="VERIFIED"</formula>
    </cfRule>
  </conditionalFormatting>
  <dataValidations count="2">
    <dataValidation type="list" sqref="D5:D100" xr:uid="{00000000-0002-0000-0100-000000000000}">
      <formula1>"Pending,Calculation,Code / Notebook,Power BI Screenshot,Dashboard Export,Statistical Output,Before / After,GitHub Commit,Validation Record,Other"</formula1>
    </dataValidation>
    <dataValidation type="list" sqref="H5:H100" xr:uid="{00000000-0002-0000-0100-000001000000}">
      <formula1>"NOT STARTED,COLLECTED,VERIFIED,SUPERSEDED"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"/>
  <sheetViews>
    <sheetView workbookViewId="0"/>
  </sheetViews>
  <sheetFormatPr baseColWidth="10" defaultColWidth="9" defaultRowHeight="14.25"/>
  <cols>
    <col min="1" max="1" width="10" customWidth="1"/>
    <col min="2" max="2" width="16" customWidth="1"/>
    <col min="3" max="13" width="22" customWidth="1"/>
    <col min="14" max="14" width="24" customWidth="1"/>
  </cols>
  <sheetData>
    <row r="1" spans="1:14" ht="24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20.100000000000001" customHeight="1">
      <c r="A2" s="9" t="s">
        <v>248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0" customHeight="1">
      <c r="A4" s="5" t="s">
        <v>249</v>
      </c>
      <c r="B4" s="5" t="s">
        <v>250</v>
      </c>
      <c r="C4" s="5" t="s">
        <v>251</v>
      </c>
      <c r="D4" s="5" t="s">
        <v>252</v>
      </c>
      <c r="E4" s="5" t="s">
        <v>253</v>
      </c>
      <c r="F4" s="5" t="s">
        <v>254</v>
      </c>
      <c r="G4" s="5" t="s">
        <v>255</v>
      </c>
      <c r="H4" s="5" t="s">
        <v>256</v>
      </c>
      <c r="I4" s="5" t="s">
        <v>257</v>
      </c>
      <c r="J4" s="5" t="s">
        <v>14</v>
      </c>
      <c r="K4" s="5" t="s">
        <v>258</v>
      </c>
      <c r="L4" s="5" t="s">
        <v>16</v>
      </c>
      <c r="M4" s="5" t="s">
        <v>259</v>
      </c>
      <c r="N4" s="5" t="s">
        <v>182</v>
      </c>
    </row>
    <row r="5" spans="1:14" ht="72">
      <c r="A5" s="4" t="s">
        <v>260</v>
      </c>
      <c r="B5" s="4" t="s">
        <v>138</v>
      </c>
      <c r="C5" s="4" t="s">
        <v>261</v>
      </c>
      <c r="D5" s="4" t="s">
        <v>262</v>
      </c>
      <c r="E5" s="4" t="s">
        <v>263</v>
      </c>
      <c r="F5" s="4" t="s">
        <v>264</v>
      </c>
      <c r="G5" s="4" t="s">
        <v>265</v>
      </c>
      <c r="H5" s="4" t="s">
        <v>266</v>
      </c>
      <c r="I5" s="4" t="s">
        <v>267</v>
      </c>
      <c r="J5" s="4" t="s">
        <v>268</v>
      </c>
      <c r="K5" s="4" t="s">
        <v>269</v>
      </c>
      <c r="L5" s="4" t="s">
        <v>270</v>
      </c>
      <c r="M5" s="4" t="s">
        <v>271</v>
      </c>
      <c r="N5" s="4" t="s">
        <v>272</v>
      </c>
    </row>
    <row r="6" spans="1:14" ht="72">
      <c r="A6" s="4" t="s">
        <v>273</v>
      </c>
      <c r="B6" s="4" t="s">
        <v>138</v>
      </c>
      <c r="C6" s="4" t="s">
        <v>274</v>
      </c>
      <c r="D6" s="4" t="s">
        <v>275</v>
      </c>
      <c r="E6" s="4" t="s">
        <v>276</v>
      </c>
      <c r="F6" s="4" t="s">
        <v>277</v>
      </c>
      <c r="G6" s="4" t="s">
        <v>278</v>
      </c>
      <c r="H6" s="4" t="s">
        <v>279</v>
      </c>
      <c r="I6" s="4" t="s">
        <v>280</v>
      </c>
      <c r="J6" s="4" t="s">
        <v>281</v>
      </c>
      <c r="K6" s="4" t="s">
        <v>282</v>
      </c>
      <c r="L6" s="4" t="s">
        <v>270</v>
      </c>
      <c r="M6" s="4" t="s">
        <v>283</v>
      </c>
      <c r="N6" s="4" t="s">
        <v>284</v>
      </c>
    </row>
  </sheetData>
  <mergeCells count="2">
    <mergeCell ref="A1:N1"/>
    <mergeCell ref="A2:N2"/>
  </mergeCells>
  <conditionalFormatting sqref="N5:N6">
    <cfRule type="expression" dxfId="5" priority="1">
      <formula>OR(ISNUMBER(SEARCH("VALIDATED",N5)),ISNUMBER(SEARCH("RESOLVED",N5)),ISNUMBER(SEARCH("PASS",N5)))</formula>
    </cfRule>
  </conditionalFormatting>
  <dataValidations count="1">
    <dataValidation type="list" sqref="N5:N50" xr:uid="{00000000-0002-0000-0200-000000000000}">
      <formula1>"NOT STARTED,IN PROGRESS,PASS — VALIDATED,PASS WITH LIMITATION,REFINED &amp; VALIDATED,INCONCLUSIVE"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workbookViewId="0"/>
  </sheetViews>
  <sheetFormatPr baseColWidth="10" defaultColWidth="9" defaultRowHeight="14.25"/>
  <cols>
    <col min="1" max="1" width="9" customWidth="1"/>
    <col min="2" max="2" width="14" customWidth="1"/>
    <col min="3" max="3" width="22" customWidth="1"/>
    <col min="4" max="4" width="36" customWidth="1"/>
    <col min="5" max="5" width="28" customWidth="1"/>
    <col min="6" max="6" width="36" customWidth="1"/>
    <col min="7" max="7" width="24" customWidth="1"/>
    <col min="8" max="8" width="26" customWidth="1"/>
  </cols>
  <sheetData>
    <row r="1" spans="1:8" ht="24" customHeight="1">
      <c r="A1" s="8" t="s">
        <v>285</v>
      </c>
      <c r="B1" s="8"/>
      <c r="C1" s="8"/>
      <c r="D1" s="8"/>
      <c r="E1" s="8"/>
      <c r="F1" s="8"/>
      <c r="G1" s="8"/>
      <c r="H1" s="8"/>
    </row>
    <row r="2" spans="1:8" ht="20.100000000000001" customHeight="1">
      <c r="A2" s="9" t="s">
        <v>286</v>
      </c>
      <c r="B2" s="9"/>
      <c r="C2" s="9"/>
      <c r="D2" s="9"/>
      <c r="E2" s="9"/>
      <c r="F2" s="9"/>
      <c r="G2" s="9"/>
      <c r="H2" s="9"/>
    </row>
    <row r="3" spans="1:8">
      <c r="A3" s="4"/>
      <c r="B3" s="4"/>
      <c r="C3" s="4"/>
      <c r="D3" s="4"/>
      <c r="E3" s="4"/>
      <c r="F3" s="4"/>
      <c r="G3" s="4"/>
      <c r="H3" s="4"/>
    </row>
    <row r="4" spans="1:8" ht="30" customHeight="1">
      <c r="A4" s="5" t="s">
        <v>287</v>
      </c>
      <c r="B4" s="5" t="s">
        <v>288</v>
      </c>
      <c r="C4" s="5" t="s">
        <v>289</v>
      </c>
      <c r="D4" s="5" t="s">
        <v>290</v>
      </c>
      <c r="E4" s="5" t="s">
        <v>291</v>
      </c>
      <c r="F4" s="5" t="s">
        <v>292</v>
      </c>
      <c r="G4" s="5" t="s">
        <v>293</v>
      </c>
      <c r="H4" s="5" t="s">
        <v>182</v>
      </c>
    </row>
    <row r="5" spans="1:8" ht="24">
      <c r="A5" s="4" t="s">
        <v>294</v>
      </c>
      <c r="B5" s="4" t="s">
        <v>295</v>
      </c>
      <c r="C5" s="4" t="s">
        <v>296</v>
      </c>
      <c r="D5" s="4" t="s">
        <v>297</v>
      </c>
      <c r="E5" s="4" t="s">
        <v>298</v>
      </c>
      <c r="F5" s="4" t="s">
        <v>299</v>
      </c>
      <c r="G5" s="4" t="s">
        <v>300</v>
      </c>
      <c r="H5" s="4" t="s">
        <v>301</v>
      </c>
    </row>
    <row r="6" spans="1:8" ht="24">
      <c r="A6" s="4" t="s">
        <v>302</v>
      </c>
      <c r="B6" s="4" t="s">
        <v>303</v>
      </c>
      <c r="C6" s="4" t="s">
        <v>304</v>
      </c>
      <c r="D6" s="4" t="s">
        <v>305</v>
      </c>
      <c r="E6" s="4" t="s">
        <v>306</v>
      </c>
      <c r="F6" s="4" t="s">
        <v>307</v>
      </c>
      <c r="G6" s="4" t="s">
        <v>300</v>
      </c>
      <c r="H6" s="4" t="s">
        <v>301</v>
      </c>
    </row>
    <row r="7" spans="1:8" ht="24">
      <c r="A7" s="4" t="s">
        <v>308</v>
      </c>
      <c r="B7" s="4" t="s">
        <v>309</v>
      </c>
      <c r="C7" s="4" t="s">
        <v>310</v>
      </c>
      <c r="D7" s="4" t="s">
        <v>311</v>
      </c>
      <c r="E7" s="4" t="s">
        <v>312</v>
      </c>
      <c r="F7" s="4" t="s">
        <v>313</v>
      </c>
      <c r="G7" s="4" t="s">
        <v>300</v>
      </c>
      <c r="H7" s="4" t="s">
        <v>314</v>
      </c>
    </row>
    <row r="8" spans="1:8" ht="24">
      <c r="A8" s="4" t="s">
        <v>315</v>
      </c>
      <c r="B8" s="4" t="s">
        <v>316</v>
      </c>
      <c r="C8" s="4" t="s">
        <v>317</v>
      </c>
      <c r="D8" s="4" t="s">
        <v>318</v>
      </c>
      <c r="E8" s="4" t="s">
        <v>319</v>
      </c>
      <c r="F8" s="4" t="s">
        <v>320</v>
      </c>
      <c r="G8" s="4" t="s">
        <v>321</v>
      </c>
      <c r="H8" s="4" t="s">
        <v>301</v>
      </c>
    </row>
    <row r="9" spans="1:8" ht="24">
      <c r="A9" s="4" t="s">
        <v>322</v>
      </c>
      <c r="B9" s="4" t="s">
        <v>140</v>
      </c>
      <c r="C9" s="4" t="s">
        <v>323</v>
      </c>
      <c r="D9" s="4" t="s">
        <v>324</v>
      </c>
      <c r="E9" s="4" t="s">
        <v>325</v>
      </c>
      <c r="F9" s="4" t="s">
        <v>326</v>
      </c>
      <c r="G9" s="4" t="s">
        <v>327</v>
      </c>
      <c r="H9" s="4" t="s">
        <v>328</v>
      </c>
    </row>
    <row r="10" spans="1:8" ht="24">
      <c r="A10" s="4" t="s">
        <v>329</v>
      </c>
      <c r="B10" s="4" t="s">
        <v>330</v>
      </c>
      <c r="C10" s="4" t="s">
        <v>331</v>
      </c>
      <c r="D10" s="4" t="s">
        <v>332</v>
      </c>
      <c r="E10" s="4" t="s">
        <v>333</v>
      </c>
      <c r="F10" s="4" t="s">
        <v>334</v>
      </c>
      <c r="G10" s="4" t="s">
        <v>300</v>
      </c>
      <c r="H10" s="4" t="s">
        <v>301</v>
      </c>
    </row>
  </sheetData>
  <mergeCells count="2">
    <mergeCell ref="A1:H1"/>
    <mergeCell ref="A2:H2"/>
  </mergeCells>
  <conditionalFormatting sqref="H5:H10">
    <cfRule type="expression" dxfId="4" priority="1">
      <formula>OR(ISNUMBER(SEARCH("VALIDATED",H5)),ISNUMBER(SEARCH("RESOLVED",H5)),ISNUMBER(SEARCH("PASS",H5)))</formula>
    </cfRule>
  </conditionalFormatting>
  <dataValidations count="1">
    <dataValidation type="list" sqref="H5:H100" xr:uid="{00000000-0002-0000-0300-000000000000}">
      <formula1>"NOT STARTED,READY,ACTION REQUIRED,BLOCKED,CLOSED"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workbookViewId="0"/>
  </sheetViews>
  <sheetFormatPr baseColWidth="10" defaultColWidth="9" defaultRowHeight="14.25"/>
  <cols>
    <col min="1" max="1" width="28" customWidth="1"/>
    <col min="2" max="2" width="95" customWidth="1"/>
  </cols>
  <sheetData>
    <row r="1" spans="1:8" ht="27.95" customHeight="1">
      <c r="A1" s="10" t="s">
        <v>335</v>
      </c>
      <c r="B1" s="10"/>
      <c r="C1" s="10"/>
      <c r="D1" s="10"/>
      <c r="E1" s="10"/>
      <c r="F1" s="10"/>
      <c r="G1" s="10"/>
      <c r="H1" s="10"/>
    </row>
    <row r="2" spans="1:8" ht="24" customHeight="1">
      <c r="A2" s="11" t="s">
        <v>336</v>
      </c>
      <c r="B2" s="11"/>
      <c r="C2" s="11"/>
      <c r="D2" s="11"/>
      <c r="E2" s="11"/>
      <c r="F2" s="11"/>
      <c r="G2" s="11"/>
      <c r="H2" s="11"/>
    </row>
    <row r="4" spans="1:8" ht="15">
      <c r="A4" s="2" t="s">
        <v>337</v>
      </c>
      <c r="B4" s="2" t="s">
        <v>338</v>
      </c>
    </row>
    <row r="5" spans="1:8" ht="28.5">
      <c r="A5" s="1" t="s">
        <v>339</v>
      </c>
      <c r="B5" s="1" t="s">
        <v>340</v>
      </c>
    </row>
    <row r="6" spans="1:8">
      <c r="A6" s="1" t="s">
        <v>341</v>
      </c>
      <c r="B6" s="1" t="s">
        <v>342</v>
      </c>
    </row>
    <row r="7" spans="1:8" ht="28.5">
      <c r="A7" s="1" t="s">
        <v>343</v>
      </c>
      <c r="B7" s="1" t="s">
        <v>344</v>
      </c>
    </row>
    <row r="8" spans="1:8" ht="28.5">
      <c r="A8" s="1" t="s">
        <v>345</v>
      </c>
      <c r="B8" s="1" t="s">
        <v>346</v>
      </c>
    </row>
    <row r="9" spans="1:8" ht="28.5">
      <c r="A9" s="1" t="s">
        <v>347</v>
      </c>
      <c r="B9" s="1" t="s">
        <v>348</v>
      </c>
    </row>
    <row r="10" spans="1:8">
      <c r="A10" s="1" t="s">
        <v>27</v>
      </c>
      <c r="B10" s="1" t="s">
        <v>349</v>
      </c>
    </row>
    <row r="11" spans="1:8">
      <c r="A11" s="1" t="s">
        <v>350</v>
      </c>
      <c r="B11" s="1" t="s">
        <v>351</v>
      </c>
    </row>
    <row r="12" spans="1:8">
      <c r="A12" s="1" t="s">
        <v>352</v>
      </c>
      <c r="B12" s="1" t="s">
        <v>353</v>
      </c>
    </row>
    <row r="13" spans="1:8">
      <c r="A13" s="1" t="s">
        <v>33</v>
      </c>
      <c r="B13" s="1" t="s">
        <v>354</v>
      </c>
    </row>
    <row r="14" spans="1:8">
      <c r="A14" s="1" t="s">
        <v>60</v>
      </c>
      <c r="B14" s="1" t="s">
        <v>355</v>
      </c>
    </row>
    <row r="15" spans="1:8">
      <c r="A15" s="1" t="s">
        <v>92</v>
      </c>
      <c r="B15" s="1" t="s">
        <v>356</v>
      </c>
    </row>
    <row r="16" spans="1:8">
      <c r="A16" s="1" t="s">
        <v>357</v>
      </c>
      <c r="B16" s="1" t="s">
        <v>358</v>
      </c>
    </row>
    <row r="17" spans="1:2">
      <c r="A17" s="1" t="s">
        <v>359</v>
      </c>
      <c r="B17" s="1" t="s">
        <v>360</v>
      </c>
    </row>
    <row r="18" spans="1:2">
      <c r="A18" t="s">
        <v>361</v>
      </c>
      <c r="B18" t="s">
        <v>362</v>
      </c>
    </row>
  </sheetData>
  <mergeCells count="2">
    <mergeCell ref="A1:H1"/>
    <mergeCell ref="A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/>
  </sheetViews>
  <sheetFormatPr baseColWidth="10" defaultColWidth="9" defaultRowHeight="14.25"/>
  <cols>
    <col min="1" max="1" width="24" customWidth="1"/>
    <col min="2" max="2" width="38" customWidth="1"/>
    <col min="3" max="3" width="34" customWidth="1"/>
    <col min="4" max="4" width="18" customWidth="1"/>
    <col min="5" max="5" width="24" customWidth="1"/>
    <col min="6" max="6" width="38" customWidth="1"/>
  </cols>
  <sheetData>
    <row r="1" spans="1:6" ht="24" customHeight="1">
      <c r="A1" s="12" t="s">
        <v>363</v>
      </c>
      <c r="B1" s="12"/>
      <c r="C1" s="12"/>
      <c r="D1" s="12"/>
      <c r="E1" s="12"/>
      <c r="F1" s="12"/>
    </row>
    <row r="2" spans="1:6" ht="20.100000000000001" customHeight="1">
      <c r="A2" s="13" t="s">
        <v>364</v>
      </c>
      <c r="B2" s="13"/>
      <c r="C2" s="13"/>
      <c r="D2" s="13"/>
      <c r="E2" s="13"/>
      <c r="F2" s="13"/>
    </row>
    <row r="3" spans="1:6">
      <c r="A3" s="4"/>
      <c r="B3" s="4"/>
      <c r="C3" s="4"/>
      <c r="D3" s="4"/>
      <c r="E3" s="4"/>
      <c r="F3" s="4"/>
    </row>
    <row r="4" spans="1:6" ht="30" customHeight="1">
      <c r="A4" s="5" t="s">
        <v>365</v>
      </c>
      <c r="B4" s="5" t="s">
        <v>366</v>
      </c>
      <c r="C4" s="5" t="s">
        <v>367</v>
      </c>
      <c r="D4" s="5" t="s">
        <v>368</v>
      </c>
      <c r="E4" s="5" t="s">
        <v>369</v>
      </c>
      <c r="F4" s="5" t="s">
        <v>370</v>
      </c>
    </row>
    <row r="5" spans="1:6" ht="24">
      <c r="A5" s="4" t="s">
        <v>371</v>
      </c>
      <c r="B5" s="4" t="s">
        <v>372</v>
      </c>
      <c r="C5" s="4" t="s">
        <v>373</v>
      </c>
      <c r="D5" s="4" t="s">
        <v>295</v>
      </c>
      <c r="E5" s="4" t="s">
        <v>33</v>
      </c>
      <c r="F5" s="4" t="s">
        <v>374</v>
      </c>
    </row>
    <row r="6" spans="1:6" ht="24">
      <c r="A6" s="4" t="s">
        <v>375</v>
      </c>
      <c r="B6" s="4" t="s">
        <v>376</v>
      </c>
      <c r="C6" s="4" t="s">
        <v>377</v>
      </c>
      <c r="D6" s="4" t="s">
        <v>378</v>
      </c>
      <c r="E6" s="4" t="s">
        <v>33</v>
      </c>
      <c r="F6" s="4" t="s">
        <v>379</v>
      </c>
    </row>
    <row r="7" spans="1:6" ht="24">
      <c r="A7" s="4" t="s">
        <v>380</v>
      </c>
      <c r="B7" s="4" t="s">
        <v>381</v>
      </c>
      <c r="C7" s="4" t="s">
        <v>382</v>
      </c>
      <c r="D7" s="4" t="s">
        <v>383</v>
      </c>
      <c r="E7" s="4" t="s">
        <v>33</v>
      </c>
      <c r="F7" s="4" t="s">
        <v>384</v>
      </c>
    </row>
    <row r="8" spans="1:6">
      <c r="A8" s="4" t="s">
        <v>207</v>
      </c>
      <c r="B8" s="4" t="s">
        <v>385</v>
      </c>
      <c r="C8" s="4" t="s">
        <v>386</v>
      </c>
      <c r="D8" s="4" t="s">
        <v>383</v>
      </c>
      <c r="E8" s="4" t="s">
        <v>33</v>
      </c>
      <c r="F8" s="4" t="s">
        <v>387</v>
      </c>
    </row>
    <row r="9" spans="1:6" ht="24">
      <c r="A9" s="4" t="s">
        <v>388</v>
      </c>
      <c r="B9" s="4" t="s">
        <v>389</v>
      </c>
      <c r="C9" s="4" t="s">
        <v>390</v>
      </c>
      <c r="D9" s="4" t="s">
        <v>391</v>
      </c>
      <c r="E9" s="4" t="s">
        <v>92</v>
      </c>
      <c r="F9" s="4" t="s">
        <v>392</v>
      </c>
    </row>
    <row r="10" spans="1:6" ht="24">
      <c r="A10" s="4" t="s">
        <v>393</v>
      </c>
      <c r="B10" s="4" t="s">
        <v>394</v>
      </c>
      <c r="C10" s="4" t="s">
        <v>395</v>
      </c>
      <c r="D10" s="4" t="s">
        <v>396</v>
      </c>
      <c r="E10" s="4" t="s">
        <v>33</v>
      </c>
      <c r="F10" s="4" t="s">
        <v>397</v>
      </c>
    </row>
    <row r="11" spans="1:6" ht="24">
      <c r="A11" s="4" t="s">
        <v>398</v>
      </c>
      <c r="B11" s="4" t="s">
        <v>399</v>
      </c>
      <c r="C11" s="4" t="s">
        <v>400</v>
      </c>
      <c r="D11" s="4" t="s">
        <v>391</v>
      </c>
      <c r="E11" s="4" t="s">
        <v>92</v>
      </c>
      <c r="F11" s="4" t="s">
        <v>401</v>
      </c>
    </row>
    <row r="12" spans="1:6" ht="24">
      <c r="A12" s="4" t="s">
        <v>402</v>
      </c>
      <c r="B12" s="4" t="s">
        <v>403</v>
      </c>
      <c r="C12" s="4" t="s">
        <v>404</v>
      </c>
      <c r="D12" s="4" t="s">
        <v>405</v>
      </c>
      <c r="E12" s="4" t="s">
        <v>33</v>
      </c>
      <c r="F12" s="4" t="s">
        <v>406</v>
      </c>
    </row>
    <row r="13" spans="1:6" ht="24">
      <c r="A13" s="4" t="s">
        <v>407</v>
      </c>
      <c r="B13" s="4" t="s">
        <v>408</v>
      </c>
      <c r="C13" s="4" t="s">
        <v>409</v>
      </c>
      <c r="D13" s="4" t="s">
        <v>410</v>
      </c>
      <c r="E13" s="4" t="s">
        <v>411</v>
      </c>
      <c r="F13" s="4" t="s">
        <v>412</v>
      </c>
    </row>
  </sheetData>
  <mergeCells count="2">
    <mergeCell ref="A1:F1"/>
    <mergeCell ref="A2:F2"/>
  </mergeCells>
  <conditionalFormatting sqref="E5:E13">
    <cfRule type="expression" dxfId="3" priority="1">
      <formula>OR(ISNUMBER(SEARCH("VALIDATED",E5)),ISNUMBER(SEARCH("RESOLVED",E5)),ISNUMBER(SEARCH("PASS",E5)))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2"/>
  <sheetViews>
    <sheetView workbookViewId="0"/>
  </sheetViews>
  <sheetFormatPr baseColWidth="10" defaultColWidth="9" defaultRowHeight="14.25"/>
  <cols>
    <col min="1" max="1" width="26" customWidth="1"/>
    <col min="2" max="3" width="18" customWidth="1"/>
    <col min="4" max="4" width="24" customWidth="1"/>
    <col min="5" max="5" width="32" customWidth="1"/>
    <col min="6" max="6" width="15" customWidth="1"/>
  </cols>
  <sheetData>
    <row r="1" spans="1:6" ht="15.75">
      <c r="A1" s="14" t="s">
        <v>413</v>
      </c>
      <c r="B1" s="14"/>
      <c r="C1" s="14"/>
      <c r="D1" s="14"/>
      <c r="E1" s="14"/>
      <c r="F1" s="14"/>
    </row>
    <row r="2" spans="1:6">
      <c r="A2" s="15" t="s">
        <v>414</v>
      </c>
      <c r="B2" s="15"/>
      <c r="C2" s="15"/>
      <c r="D2" s="15"/>
      <c r="E2" s="15"/>
      <c r="F2" s="15"/>
    </row>
    <row r="3" spans="1:6">
      <c r="A3" s="6"/>
      <c r="B3" s="6"/>
      <c r="C3" s="6"/>
      <c r="D3" s="6"/>
      <c r="E3" s="6"/>
      <c r="F3" s="6"/>
    </row>
    <row r="4" spans="1:6">
      <c r="A4" s="16" t="s">
        <v>415</v>
      </c>
      <c r="B4" s="16"/>
      <c r="C4" s="16"/>
      <c r="D4" s="16"/>
      <c r="E4" s="16"/>
      <c r="F4" s="16"/>
    </row>
    <row r="5" spans="1:6">
      <c r="A5" s="7" t="s">
        <v>416</v>
      </c>
      <c r="B5" s="7" t="s">
        <v>417</v>
      </c>
      <c r="C5" s="7" t="s">
        <v>418</v>
      </c>
      <c r="D5" s="7" t="s">
        <v>419</v>
      </c>
      <c r="E5" s="7" t="s">
        <v>420</v>
      </c>
      <c r="F5" s="7" t="s">
        <v>421</v>
      </c>
    </row>
    <row r="6" spans="1:6">
      <c r="A6" s="6" t="s">
        <v>21</v>
      </c>
      <c r="B6" s="6">
        <v>2423</v>
      </c>
      <c r="C6" s="6">
        <v>4737</v>
      </c>
      <c r="D6" s="6" t="s">
        <v>422</v>
      </c>
      <c r="E6" s="6" t="s">
        <v>423</v>
      </c>
      <c r="F6" s="6" t="s">
        <v>27</v>
      </c>
    </row>
    <row r="7" spans="1:6">
      <c r="A7" s="6" t="s">
        <v>424</v>
      </c>
      <c r="B7" s="6" t="s">
        <v>425</v>
      </c>
      <c r="C7" s="6"/>
      <c r="D7" s="6" t="s">
        <v>426</v>
      </c>
      <c r="E7" s="6" t="s">
        <v>427</v>
      </c>
      <c r="F7" s="6" t="s">
        <v>27</v>
      </c>
    </row>
    <row r="8" spans="1:6">
      <c r="A8" s="6"/>
      <c r="B8" s="6"/>
      <c r="C8" s="6"/>
      <c r="D8" s="6"/>
      <c r="E8" s="6"/>
      <c r="F8" s="6"/>
    </row>
    <row r="9" spans="1:6">
      <c r="A9" s="16" t="s">
        <v>428</v>
      </c>
      <c r="B9" s="16"/>
      <c r="C9" s="16"/>
      <c r="D9" s="16"/>
      <c r="E9" s="16"/>
      <c r="F9" s="16"/>
    </row>
    <row r="10" spans="1:6">
      <c r="A10" s="7" t="s">
        <v>416</v>
      </c>
      <c r="B10" s="7" t="s">
        <v>417</v>
      </c>
      <c r="C10" s="7" t="s">
        <v>418</v>
      </c>
      <c r="D10" s="7" t="s">
        <v>419</v>
      </c>
      <c r="E10" s="7" t="s">
        <v>420</v>
      </c>
      <c r="F10" s="7" t="s">
        <v>421</v>
      </c>
    </row>
    <row r="11" spans="1:6">
      <c r="A11" s="6" t="s">
        <v>429</v>
      </c>
      <c r="B11" s="6">
        <v>3634</v>
      </c>
      <c r="C11" s="6">
        <v>5000</v>
      </c>
      <c r="D11" s="6" t="s">
        <v>430</v>
      </c>
      <c r="E11" s="6" t="s">
        <v>431</v>
      </c>
      <c r="F11" s="6" t="s">
        <v>27</v>
      </c>
    </row>
    <row r="12" spans="1:6">
      <c r="A12" s="6" t="s">
        <v>432</v>
      </c>
      <c r="B12" s="6"/>
      <c r="C12" s="6"/>
      <c r="D12" s="6" t="s">
        <v>433</v>
      </c>
      <c r="E12" s="6" t="s">
        <v>434</v>
      </c>
      <c r="F12" s="6" t="s">
        <v>27</v>
      </c>
    </row>
    <row r="13" spans="1:6">
      <c r="A13" s="6"/>
      <c r="B13" s="6"/>
      <c r="C13" s="6"/>
      <c r="D13" s="6"/>
      <c r="E13" s="6"/>
      <c r="F13" s="6"/>
    </row>
    <row r="14" spans="1:6">
      <c r="A14" s="16" t="s">
        <v>435</v>
      </c>
      <c r="B14" s="16"/>
      <c r="C14" s="16"/>
      <c r="D14" s="16"/>
      <c r="E14" s="16"/>
      <c r="F14" s="16"/>
    </row>
    <row r="15" spans="1:6">
      <c r="A15" s="7" t="s">
        <v>436</v>
      </c>
      <c r="B15" s="7" t="s">
        <v>437</v>
      </c>
      <c r="C15" s="7" t="s">
        <v>21</v>
      </c>
      <c r="D15" s="7" t="s">
        <v>438</v>
      </c>
      <c r="E15" s="7" t="s">
        <v>420</v>
      </c>
      <c r="F15" s="7" t="s">
        <v>421</v>
      </c>
    </row>
    <row r="16" spans="1:6">
      <c r="A16" s="6" t="s">
        <v>439</v>
      </c>
      <c r="B16" s="6">
        <v>604</v>
      </c>
      <c r="C16" s="6" t="s">
        <v>440</v>
      </c>
      <c r="D16" s="6"/>
      <c r="E16" s="6"/>
      <c r="F16" s="6" t="s">
        <v>27</v>
      </c>
    </row>
    <row r="17" spans="1:6">
      <c r="A17" s="6" t="s">
        <v>441</v>
      </c>
      <c r="B17" s="6">
        <v>574</v>
      </c>
      <c r="C17" s="6" t="s">
        <v>442</v>
      </c>
      <c r="D17" s="6"/>
      <c r="E17" s="6"/>
      <c r="F17" s="6" t="s">
        <v>27</v>
      </c>
    </row>
    <row r="18" spans="1:6">
      <c r="A18" s="6" t="s">
        <v>443</v>
      </c>
      <c r="B18" s="6">
        <v>1265</v>
      </c>
      <c r="C18" s="6" t="s">
        <v>444</v>
      </c>
      <c r="D18" s="6"/>
      <c r="E18" s="6"/>
      <c r="F18" s="6" t="s">
        <v>27</v>
      </c>
    </row>
    <row r="19" spans="1:6">
      <c r="A19" s="6" t="s">
        <v>445</v>
      </c>
      <c r="B19" s="6">
        <v>1187</v>
      </c>
      <c r="C19" s="6" t="s">
        <v>446</v>
      </c>
      <c r="D19" s="6"/>
      <c r="E19" s="6"/>
      <c r="F19" s="6" t="s">
        <v>27</v>
      </c>
    </row>
    <row r="20" spans="1:6">
      <c r="A20" s="6" t="s">
        <v>447</v>
      </c>
      <c r="B20" s="6">
        <v>1107</v>
      </c>
      <c r="C20" s="6" t="s">
        <v>448</v>
      </c>
      <c r="D20" s="6"/>
      <c r="E20" s="6"/>
      <c r="F20" s="6" t="s">
        <v>27</v>
      </c>
    </row>
    <row r="21" spans="1:6">
      <c r="A21" s="6" t="s">
        <v>449</v>
      </c>
      <c r="B21" s="6">
        <v>2443</v>
      </c>
      <c r="C21" s="6" t="s">
        <v>450</v>
      </c>
      <c r="D21" s="6" t="s">
        <v>451</v>
      </c>
      <c r="E21" s="6" t="s">
        <v>452</v>
      </c>
      <c r="F21" s="6" t="s">
        <v>27</v>
      </c>
    </row>
    <row r="22" spans="1:6">
      <c r="A22" s="6" t="s">
        <v>453</v>
      </c>
      <c r="B22" s="6">
        <v>2294</v>
      </c>
      <c r="C22" s="6" t="s">
        <v>454</v>
      </c>
      <c r="D22" s="6"/>
      <c r="E22" s="6"/>
      <c r="F22" s="6" t="s">
        <v>27</v>
      </c>
    </row>
    <row r="23" spans="1:6">
      <c r="A23" s="6" t="s">
        <v>455</v>
      </c>
      <c r="B23" s="6"/>
      <c r="C23" s="6"/>
      <c r="D23" s="6" t="s">
        <v>456</v>
      </c>
      <c r="E23" s="6"/>
      <c r="F23" s="6" t="s">
        <v>27</v>
      </c>
    </row>
    <row r="24" spans="1:6">
      <c r="A24" s="6"/>
      <c r="B24" s="6"/>
      <c r="C24" s="6"/>
      <c r="D24" s="6"/>
      <c r="E24" s="6"/>
      <c r="F24" s="6"/>
    </row>
    <row r="25" spans="1:6">
      <c r="A25" s="16" t="s">
        <v>457</v>
      </c>
      <c r="B25" s="16"/>
      <c r="C25" s="16"/>
      <c r="D25" s="16"/>
      <c r="E25" s="16"/>
      <c r="F25" s="16"/>
    </row>
    <row r="26" spans="1:6">
      <c r="A26" s="7" t="s">
        <v>458</v>
      </c>
      <c r="B26" s="7" t="s">
        <v>459</v>
      </c>
      <c r="C26" s="7" t="s">
        <v>21</v>
      </c>
      <c r="D26" s="7" t="s">
        <v>438</v>
      </c>
      <c r="E26" s="7" t="s">
        <v>420</v>
      </c>
      <c r="F26" s="7" t="s">
        <v>421</v>
      </c>
    </row>
    <row r="27" spans="1:6">
      <c r="A27" s="6" t="s">
        <v>460</v>
      </c>
      <c r="B27" s="6"/>
      <c r="C27" s="6" t="s">
        <v>461</v>
      </c>
      <c r="D27" s="6"/>
      <c r="E27" s="6"/>
      <c r="F27" s="6" t="s">
        <v>27</v>
      </c>
    </row>
    <row r="28" spans="1:6">
      <c r="A28" s="6" t="s">
        <v>462</v>
      </c>
      <c r="B28" s="6"/>
      <c r="C28" s="6" t="s">
        <v>463</v>
      </c>
      <c r="D28" s="6"/>
      <c r="E28" s="6"/>
      <c r="F28" s="6" t="s">
        <v>27</v>
      </c>
    </row>
    <row r="29" spans="1:6">
      <c r="A29" s="6" t="s">
        <v>464</v>
      </c>
      <c r="B29" s="6"/>
      <c r="C29" s="6" t="s">
        <v>465</v>
      </c>
      <c r="D29" s="6"/>
      <c r="E29" s="6"/>
      <c r="F29" s="6" t="s">
        <v>27</v>
      </c>
    </row>
    <row r="30" spans="1:6">
      <c r="A30" s="6" t="s">
        <v>466</v>
      </c>
      <c r="B30" s="6"/>
      <c r="C30" s="6" t="s">
        <v>467</v>
      </c>
      <c r="D30" s="6"/>
      <c r="E30" s="6"/>
      <c r="F30" s="6" t="s">
        <v>27</v>
      </c>
    </row>
    <row r="31" spans="1:6">
      <c r="A31" s="6" t="s">
        <v>468</v>
      </c>
      <c r="B31" s="6"/>
      <c r="C31" s="6" t="s">
        <v>469</v>
      </c>
      <c r="D31" s="6" t="s">
        <v>470</v>
      </c>
      <c r="E31" s="6" t="s">
        <v>471</v>
      </c>
      <c r="F31" s="6" t="s">
        <v>27</v>
      </c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16" t="s">
        <v>472</v>
      </c>
      <c r="B34" s="16"/>
      <c r="C34" s="16"/>
      <c r="D34" s="16"/>
      <c r="E34" s="16"/>
      <c r="F34" s="16"/>
    </row>
    <row r="35" spans="1:6">
      <c r="A35" s="7" t="s">
        <v>473</v>
      </c>
      <c r="B35" s="7" t="s">
        <v>474</v>
      </c>
      <c r="C35" s="7" t="s">
        <v>475</v>
      </c>
      <c r="D35" s="7" t="s">
        <v>21</v>
      </c>
      <c r="E35" s="7" t="s">
        <v>476</v>
      </c>
      <c r="F35" s="7" t="s">
        <v>421</v>
      </c>
    </row>
    <row r="36" spans="1:6">
      <c r="A36" s="6" t="s">
        <v>477</v>
      </c>
      <c r="B36" s="6" t="s">
        <v>460</v>
      </c>
      <c r="C36" s="6">
        <v>1428</v>
      </c>
      <c r="D36" s="6" t="s">
        <v>478</v>
      </c>
      <c r="E36" s="6" t="s">
        <v>479</v>
      </c>
      <c r="F36" s="6" t="s">
        <v>27</v>
      </c>
    </row>
    <row r="37" spans="1:6">
      <c r="A37" s="6" t="s">
        <v>477</v>
      </c>
      <c r="B37" s="6" t="s">
        <v>480</v>
      </c>
      <c r="C37" s="6">
        <v>1015</v>
      </c>
      <c r="D37" s="6" t="s">
        <v>481</v>
      </c>
      <c r="E37" s="6" t="s">
        <v>482</v>
      </c>
      <c r="F37" s="6" t="s">
        <v>27</v>
      </c>
    </row>
    <row r="38" spans="1:6">
      <c r="A38" s="6" t="s">
        <v>483</v>
      </c>
      <c r="B38" s="6" t="s">
        <v>460</v>
      </c>
      <c r="C38" s="6">
        <v>1317</v>
      </c>
      <c r="D38" s="6" t="s">
        <v>484</v>
      </c>
      <c r="E38" s="6" t="s">
        <v>485</v>
      </c>
      <c r="F38" s="6" t="s">
        <v>27</v>
      </c>
    </row>
    <row r="39" spans="1:6" ht="24">
      <c r="A39" s="6" t="s">
        <v>483</v>
      </c>
      <c r="B39" s="6" t="s">
        <v>480</v>
      </c>
      <c r="C39" s="6">
        <v>977</v>
      </c>
      <c r="D39" s="6" t="s">
        <v>486</v>
      </c>
      <c r="E39" s="6" t="s">
        <v>487</v>
      </c>
      <c r="F39" s="6" t="s">
        <v>27</v>
      </c>
    </row>
    <row r="40" spans="1:6">
      <c r="A40" s="6"/>
      <c r="B40" s="6"/>
      <c r="C40" s="6"/>
      <c r="D40" s="6"/>
      <c r="E40" s="6"/>
      <c r="F40" s="6"/>
    </row>
    <row r="41" spans="1:6">
      <c r="A41" s="6"/>
      <c r="B41" s="6"/>
      <c r="C41" s="6"/>
      <c r="D41" s="6"/>
      <c r="E41" s="6"/>
      <c r="F41" s="6"/>
    </row>
    <row r="42" spans="1:6">
      <c r="A42" s="16" t="s">
        <v>488</v>
      </c>
      <c r="B42" s="16"/>
      <c r="C42" s="16"/>
      <c r="D42" s="16"/>
      <c r="E42" s="16"/>
      <c r="F42" s="16"/>
    </row>
    <row r="43" spans="1:6">
      <c r="A43" s="7" t="s">
        <v>108</v>
      </c>
      <c r="B43" s="7" t="s">
        <v>475</v>
      </c>
      <c r="C43" s="7" t="s">
        <v>21</v>
      </c>
      <c r="D43" s="7" t="s">
        <v>489</v>
      </c>
      <c r="E43" s="7" t="s">
        <v>490</v>
      </c>
      <c r="F43" s="7" t="s">
        <v>421</v>
      </c>
    </row>
    <row r="44" spans="1:6">
      <c r="A44" s="6" t="s">
        <v>491</v>
      </c>
      <c r="B44" s="6">
        <v>1285</v>
      </c>
      <c r="C44" s="6" t="s">
        <v>492</v>
      </c>
      <c r="D44" s="6" t="s">
        <v>493</v>
      </c>
      <c r="E44" s="6" t="s">
        <v>494</v>
      </c>
      <c r="F44" s="6" t="s">
        <v>27</v>
      </c>
    </row>
    <row r="45" spans="1:6">
      <c r="A45" s="6" t="s">
        <v>495</v>
      </c>
      <c r="B45" s="6">
        <v>3452</v>
      </c>
      <c r="C45" s="6" t="s">
        <v>496</v>
      </c>
      <c r="D45" s="6" t="s">
        <v>497</v>
      </c>
      <c r="E45" s="6" t="s">
        <v>498</v>
      </c>
      <c r="F45" s="6" t="s">
        <v>27</v>
      </c>
    </row>
    <row r="46" spans="1:6">
      <c r="A46" s="6"/>
      <c r="B46" s="6"/>
      <c r="C46" s="6"/>
      <c r="D46" s="6"/>
      <c r="E46" s="6"/>
      <c r="F46" s="6"/>
    </row>
    <row r="47" spans="1:6">
      <c r="A47" s="6"/>
      <c r="B47" s="6"/>
      <c r="C47" s="6"/>
      <c r="D47" s="6"/>
      <c r="E47" s="6"/>
      <c r="F47" s="6"/>
    </row>
    <row r="48" spans="1:6">
      <c r="A48" s="16" t="s">
        <v>499</v>
      </c>
      <c r="B48" s="16"/>
      <c r="C48" s="16"/>
      <c r="D48" s="16"/>
      <c r="E48" s="16"/>
      <c r="F48" s="16"/>
    </row>
    <row r="49" spans="1:6">
      <c r="A49" s="7" t="s">
        <v>500</v>
      </c>
      <c r="B49" s="7" t="s">
        <v>475</v>
      </c>
      <c r="C49" s="7" t="s">
        <v>21</v>
      </c>
      <c r="D49" s="7" t="s">
        <v>489</v>
      </c>
      <c r="E49" s="7" t="s">
        <v>476</v>
      </c>
      <c r="F49" s="7" t="s">
        <v>421</v>
      </c>
    </row>
    <row r="50" spans="1:6">
      <c r="A50" s="6" t="s">
        <v>501</v>
      </c>
      <c r="B50" s="6">
        <v>1103</v>
      </c>
      <c r="C50" s="6" t="s">
        <v>502</v>
      </c>
      <c r="D50" s="6"/>
      <c r="E50" s="6" t="s">
        <v>503</v>
      </c>
      <c r="F50" s="6" t="s">
        <v>27</v>
      </c>
    </row>
    <row r="51" spans="1:6">
      <c r="A51" s="6" t="s">
        <v>504</v>
      </c>
      <c r="B51" s="6">
        <v>1595</v>
      </c>
      <c r="C51" s="6" t="s">
        <v>505</v>
      </c>
      <c r="D51" s="6"/>
      <c r="E51" s="6" t="s">
        <v>503</v>
      </c>
      <c r="F51" s="6" t="s">
        <v>27</v>
      </c>
    </row>
    <row r="52" spans="1:6">
      <c r="A52" s="6" t="s">
        <v>506</v>
      </c>
      <c r="B52" s="6">
        <v>1578</v>
      </c>
      <c r="C52" s="6" t="s">
        <v>507</v>
      </c>
      <c r="D52" s="6"/>
      <c r="E52" s="6" t="s">
        <v>503</v>
      </c>
      <c r="F52" s="6" t="s">
        <v>27</v>
      </c>
    </row>
    <row r="53" spans="1:6">
      <c r="A53" s="6" t="s">
        <v>508</v>
      </c>
      <c r="B53" s="6">
        <v>305</v>
      </c>
      <c r="C53" s="6" t="s">
        <v>509</v>
      </c>
      <c r="D53" s="6"/>
      <c r="E53" s="6" t="s">
        <v>510</v>
      </c>
      <c r="F53" s="6" t="s">
        <v>27</v>
      </c>
    </row>
    <row r="54" spans="1:6">
      <c r="A54" s="6" t="s">
        <v>511</v>
      </c>
      <c r="B54" s="6">
        <v>70</v>
      </c>
      <c r="C54" s="6" t="s">
        <v>512</v>
      </c>
      <c r="D54" s="6"/>
      <c r="E54" s="6" t="s">
        <v>513</v>
      </c>
      <c r="F54" s="6" t="s">
        <v>27</v>
      </c>
    </row>
    <row r="55" spans="1:6">
      <c r="A55" s="6" t="s">
        <v>514</v>
      </c>
      <c r="B55" s="6"/>
      <c r="C55" s="6"/>
      <c r="D55" s="6" t="s">
        <v>515</v>
      </c>
      <c r="E55" s="6" t="s">
        <v>516</v>
      </c>
      <c r="F55" s="6" t="s">
        <v>27</v>
      </c>
    </row>
    <row r="56" spans="1:6">
      <c r="A56" s="6"/>
      <c r="B56" s="6"/>
      <c r="C56" s="6"/>
      <c r="D56" s="6"/>
      <c r="E56" s="6"/>
      <c r="F56" s="6"/>
    </row>
    <row r="57" spans="1:6">
      <c r="A57" s="6"/>
      <c r="B57" s="6"/>
      <c r="C57" s="6"/>
      <c r="D57" s="6"/>
      <c r="E57" s="6"/>
      <c r="F57" s="6"/>
    </row>
    <row r="58" spans="1:6">
      <c r="A58" s="16" t="s">
        <v>517</v>
      </c>
      <c r="B58" s="16"/>
      <c r="C58" s="16"/>
      <c r="D58" s="16"/>
      <c r="E58" s="16"/>
      <c r="F58" s="16"/>
    </row>
    <row r="59" spans="1:6">
      <c r="A59" s="7" t="s">
        <v>518</v>
      </c>
      <c r="B59" s="7" t="s">
        <v>519</v>
      </c>
      <c r="C59" s="7" t="s">
        <v>520</v>
      </c>
      <c r="D59" s="7" t="s">
        <v>470</v>
      </c>
      <c r="E59" s="7" t="s">
        <v>521</v>
      </c>
      <c r="F59" s="7" t="s">
        <v>421</v>
      </c>
    </row>
    <row r="60" spans="1:6">
      <c r="A60" s="6" t="s">
        <v>522</v>
      </c>
      <c r="B60" s="6" t="s">
        <v>523</v>
      </c>
      <c r="C60" s="6" t="s">
        <v>524</v>
      </c>
      <c r="D60" s="6" t="s">
        <v>525</v>
      </c>
      <c r="E60" s="6" t="s">
        <v>526</v>
      </c>
      <c r="F60" s="6" t="s">
        <v>27</v>
      </c>
    </row>
    <row r="61" spans="1:6">
      <c r="A61" s="6" t="s">
        <v>527</v>
      </c>
      <c r="B61" s="6" t="s">
        <v>528</v>
      </c>
      <c r="C61" s="6" t="s">
        <v>529</v>
      </c>
      <c r="D61" s="6" t="s">
        <v>530</v>
      </c>
      <c r="E61" s="6" t="s">
        <v>531</v>
      </c>
      <c r="F61" s="6" t="s">
        <v>27</v>
      </c>
    </row>
    <row r="62" spans="1:6">
      <c r="A62" s="6" t="s">
        <v>532</v>
      </c>
      <c r="B62" s="6" t="s">
        <v>533</v>
      </c>
      <c r="C62" s="6" t="s">
        <v>534</v>
      </c>
      <c r="D62" s="6" t="s">
        <v>535</v>
      </c>
      <c r="E62" s="6" t="s">
        <v>536</v>
      </c>
      <c r="F62" s="6" t="s">
        <v>27</v>
      </c>
    </row>
    <row r="63" spans="1:6">
      <c r="A63" s="6" t="s">
        <v>537</v>
      </c>
      <c r="B63" s="6" t="s">
        <v>538</v>
      </c>
      <c r="C63" s="6" t="s">
        <v>539</v>
      </c>
      <c r="D63" s="6" t="s">
        <v>540</v>
      </c>
      <c r="E63" s="6" t="s">
        <v>536</v>
      </c>
      <c r="F63" s="6" t="s">
        <v>27</v>
      </c>
    </row>
    <row r="64" spans="1:6">
      <c r="A64" s="6"/>
      <c r="B64" s="6"/>
      <c r="C64" s="6"/>
      <c r="D64" s="6"/>
      <c r="E64" s="6"/>
      <c r="F64" s="6"/>
    </row>
    <row r="65" spans="1:6">
      <c r="A65" s="6"/>
      <c r="B65" s="6"/>
      <c r="C65" s="6"/>
      <c r="D65" s="6"/>
      <c r="E65" s="6"/>
      <c r="F65" s="6"/>
    </row>
    <row r="66" spans="1:6">
      <c r="A66" s="16" t="s">
        <v>541</v>
      </c>
      <c r="B66" s="16"/>
      <c r="C66" s="16"/>
      <c r="D66" s="16"/>
      <c r="E66" s="16"/>
      <c r="F66" s="16"/>
    </row>
    <row r="67" spans="1:6">
      <c r="A67" s="7" t="s">
        <v>542</v>
      </c>
      <c r="B67" s="7" t="s">
        <v>543</v>
      </c>
      <c r="C67" s="7" t="s">
        <v>544</v>
      </c>
      <c r="D67" s="7" t="s">
        <v>545</v>
      </c>
      <c r="E67" s="7" t="s">
        <v>546</v>
      </c>
      <c r="F67" s="7" t="s">
        <v>421</v>
      </c>
    </row>
    <row r="68" spans="1:6">
      <c r="A68" s="6" t="s">
        <v>547</v>
      </c>
      <c r="B68" s="6" t="s">
        <v>548</v>
      </c>
      <c r="C68" s="6" t="s">
        <v>549</v>
      </c>
      <c r="D68" s="6" t="s">
        <v>550</v>
      </c>
      <c r="E68" s="6" t="s">
        <v>551</v>
      </c>
      <c r="F68" s="6" t="s">
        <v>27</v>
      </c>
    </row>
    <row r="69" spans="1:6">
      <c r="A69" s="6" t="s">
        <v>552</v>
      </c>
      <c r="B69" s="6" t="s">
        <v>548</v>
      </c>
      <c r="C69" s="6" t="s">
        <v>553</v>
      </c>
      <c r="D69" s="6" t="s">
        <v>554</v>
      </c>
      <c r="E69" s="6" t="s">
        <v>551</v>
      </c>
      <c r="F69" s="6" t="s">
        <v>27</v>
      </c>
    </row>
    <row r="70" spans="1:6">
      <c r="A70" s="6" t="s">
        <v>555</v>
      </c>
      <c r="B70" s="6" t="s">
        <v>556</v>
      </c>
      <c r="C70" s="6" t="s">
        <v>557</v>
      </c>
      <c r="D70" s="6"/>
      <c r="E70" s="6" t="s">
        <v>551</v>
      </c>
      <c r="F70" s="6" t="s">
        <v>27</v>
      </c>
    </row>
    <row r="71" spans="1:6">
      <c r="A71" s="6" t="s">
        <v>558</v>
      </c>
      <c r="B71" s="6" t="s">
        <v>548</v>
      </c>
      <c r="C71" s="6" t="s">
        <v>559</v>
      </c>
      <c r="D71" s="6" t="s">
        <v>560</v>
      </c>
      <c r="E71" s="6" t="s">
        <v>551</v>
      </c>
      <c r="F71" s="6" t="s">
        <v>27</v>
      </c>
    </row>
    <row r="72" spans="1:6">
      <c r="A72" s="6" t="s">
        <v>561</v>
      </c>
      <c r="B72" s="6" t="s">
        <v>548</v>
      </c>
      <c r="C72" s="6" t="s">
        <v>562</v>
      </c>
      <c r="D72" s="6" t="s">
        <v>563</v>
      </c>
      <c r="E72" s="6" t="s">
        <v>551</v>
      </c>
      <c r="F72" s="6" t="s">
        <v>27</v>
      </c>
    </row>
    <row r="73" spans="1:6">
      <c r="A73" s="6" t="s">
        <v>564</v>
      </c>
      <c r="B73" s="6" t="s">
        <v>565</v>
      </c>
      <c r="C73" s="6" t="s">
        <v>566</v>
      </c>
      <c r="D73" s="6" t="s">
        <v>567</v>
      </c>
      <c r="E73" s="6" t="s">
        <v>551</v>
      </c>
      <c r="F73" s="6" t="s">
        <v>27</v>
      </c>
    </row>
    <row r="74" spans="1:6">
      <c r="A74" s="6"/>
      <c r="B74" s="6"/>
      <c r="C74" s="6"/>
      <c r="D74" s="6"/>
      <c r="E74" s="6"/>
      <c r="F74" s="6"/>
    </row>
    <row r="75" spans="1:6">
      <c r="A75" s="6"/>
      <c r="B75" s="6"/>
      <c r="C75" s="6"/>
      <c r="D75" s="6"/>
      <c r="E75" s="6"/>
      <c r="F75" s="6"/>
    </row>
    <row r="76" spans="1:6">
      <c r="A76" s="16" t="s">
        <v>568</v>
      </c>
      <c r="B76" s="16"/>
      <c r="C76" s="16"/>
      <c r="D76" s="16"/>
      <c r="E76" s="16"/>
      <c r="F76" s="16"/>
    </row>
    <row r="77" spans="1:6">
      <c r="A77" s="7" t="s">
        <v>569</v>
      </c>
      <c r="B77" s="7" t="s">
        <v>475</v>
      </c>
      <c r="C77" s="7" t="s">
        <v>21</v>
      </c>
      <c r="D77" s="7" t="s">
        <v>489</v>
      </c>
      <c r="E77" s="7" t="s">
        <v>476</v>
      </c>
      <c r="F77" s="7" t="s">
        <v>421</v>
      </c>
    </row>
    <row r="78" spans="1:6">
      <c r="A78" s="6" t="s">
        <v>570</v>
      </c>
      <c r="B78" s="6">
        <v>1907</v>
      </c>
      <c r="C78" s="6" t="s">
        <v>571</v>
      </c>
      <c r="D78" s="6" t="s">
        <v>572</v>
      </c>
      <c r="E78" s="6" t="s">
        <v>573</v>
      </c>
      <c r="F78" s="6" t="s">
        <v>27</v>
      </c>
    </row>
    <row r="79" spans="1:6">
      <c r="A79" s="6" t="s">
        <v>574</v>
      </c>
      <c r="B79" s="6">
        <v>506</v>
      </c>
      <c r="C79" s="6" t="s">
        <v>575</v>
      </c>
      <c r="D79" s="6" t="s">
        <v>576</v>
      </c>
      <c r="E79" s="6" t="s">
        <v>498</v>
      </c>
      <c r="F79" s="6" t="s">
        <v>27</v>
      </c>
    </row>
    <row r="80" spans="1:6">
      <c r="A80" s="6" t="s">
        <v>577</v>
      </c>
      <c r="B80" s="6">
        <v>1039</v>
      </c>
      <c r="C80" s="6" t="s">
        <v>578</v>
      </c>
      <c r="D80" s="6"/>
      <c r="E80" s="6" t="s">
        <v>573</v>
      </c>
      <c r="F80" s="6" t="s">
        <v>27</v>
      </c>
    </row>
    <row r="81" spans="1:6">
      <c r="A81" s="6"/>
      <c r="B81" s="6"/>
      <c r="C81" s="6"/>
      <c r="D81" s="6"/>
      <c r="E81" s="6"/>
      <c r="F81" s="6"/>
    </row>
    <row r="82" spans="1:6">
      <c r="A82" s="6"/>
      <c r="B82" s="6"/>
      <c r="C82" s="6"/>
      <c r="D82" s="6"/>
      <c r="E82" s="6"/>
      <c r="F82" s="6"/>
    </row>
  </sheetData>
  <mergeCells count="12">
    <mergeCell ref="A66:F66"/>
    <mergeCell ref="A76:F76"/>
    <mergeCell ref="A25:F25"/>
    <mergeCell ref="A34:F34"/>
    <mergeCell ref="A42:F42"/>
    <mergeCell ref="A48:F48"/>
    <mergeCell ref="A58:F58"/>
    <mergeCell ref="A1:F1"/>
    <mergeCell ref="A2:F2"/>
    <mergeCell ref="A4:F4"/>
    <mergeCell ref="A9:F9"/>
    <mergeCell ref="A14:F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/>
  </sheetViews>
  <sheetFormatPr baseColWidth="10" defaultColWidth="9" defaultRowHeight="14.25"/>
  <cols>
    <col min="1" max="1" width="12" customWidth="1"/>
    <col min="2" max="2" width="20" customWidth="1"/>
    <col min="3" max="3" width="24" customWidth="1"/>
    <col min="4" max="4" width="48" customWidth="1"/>
    <col min="5" max="5" width="20" customWidth="1"/>
    <col min="6" max="6" width="28" customWidth="1"/>
    <col min="7" max="7" width="22" customWidth="1"/>
  </cols>
  <sheetData>
    <row r="1" spans="1:7" ht="24" customHeight="1">
      <c r="A1" s="12" t="s">
        <v>579</v>
      </c>
      <c r="B1" s="12"/>
      <c r="C1" s="12"/>
      <c r="D1" s="12"/>
      <c r="E1" s="12"/>
      <c r="F1" s="12"/>
      <c r="G1" s="12"/>
    </row>
    <row r="2" spans="1:7" ht="20.100000000000001" customHeight="1">
      <c r="A2" s="13" t="s">
        <v>580</v>
      </c>
      <c r="B2" s="13"/>
      <c r="C2" s="13"/>
      <c r="D2" s="13"/>
      <c r="E2" s="13"/>
      <c r="F2" s="13"/>
      <c r="G2" s="13"/>
    </row>
    <row r="3" spans="1:7">
      <c r="A3" s="4"/>
      <c r="B3" s="4"/>
      <c r="C3" s="4"/>
      <c r="D3" s="4"/>
      <c r="E3" s="4"/>
      <c r="F3" s="4"/>
      <c r="G3" s="4"/>
    </row>
    <row r="4" spans="1:7" ht="30" customHeight="1">
      <c r="A4" s="5" t="s">
        <v>176</v>
      </c>
      <c r="B4" s="5" t="s">
        <v>581</v>
      </c>
      <c r="C4" s="5" t="s">
        <v>582</v>
      </c>
      <c r="D4" s="5" t="s">
        <v>583</v>
      </c>
      <c r="E4" s="5" t="s">
        <v>368</v>
      </c>
      <c r="F4" s="5" t="s">
        <v>584</v>
      </c>
      <c r="G4" s="5" t="s">
        <v>182</v>
      </c>
    </row>
    <row r="5" spans="1:7" ht="24">
      <c r="A5" s="4" t="s">
        <v>585</v>
      </c>
      <c r="B5" s="4" t="s">
        <v>586</v>
      </c>
      <c r="C5" s="4" t="s">
        <v>587</v>
      </c>
      <c r="D5" s="4" t="s">
        <v>588</v>
      </c>
      <c r="E5" s="4" t="s">
        <v>383</v>
      </c>
      <c r="F5" s="4" t="s">
        <v>589</v>
      </c>
      <c r="G5" s="4" t="s">
        <v>33</v>
      </c>
    </row>
    <row r="6" spans="1:7" ht="24">
      <c r="A6" s="4" t="s">
        <v>590</v>
      </c>
      <c r="B6" s="4" t="s">
        <v>591</v>
      </c>
      <c r="C6" s="4" t="s">
        <v>592</v>
      </c>
      <c r="D6" s="4" t="s">
        <v>593</v>
      </c>
      <c r="E6" s="4" t="s">
        <v>594</v>
      </c>
      <c r="F6" s="4" t="s">
        <v>595</v>
      </c>
      <c r="G6" s="4" t="s">
        <v>33</v>
      </c>
    </row>
    <row r="7" spans="1:7" ht="24">
      <c r="A7" s="4" t="s">
        <v>596</v>
      </c>
      <c r="B7" s="4" t="s">
        <v>597</v>
      </c>
      <c r="C7" s="4" t="s">
        <v>598</v>
      </c>
      <c r="D7" s="4" t="s">
        <v>599</v>
      </c>
      <c r="E7" s="4" t="s">
        <v>600</v>
      </c>
      <c r="F7" s="4" t="s">
        <v>601</v>
      </c>
      <c r="G7" s="4" t="s">
        <v>33</v>
      </c>
    </row>
    <row r="8" spans="1:7" ht="24">
      <c r="A8" s="4" t="s">
        <v>602</v>
      </c>
      <c r="B8" s="4" t="s">
        <v>603</v>
      </c>
      <c r="C8" s="4" t="s">
        <v>604</v>
      </c>
      <c r="D8" s="4" t="s">
        <v>605</v>
      </c>
      <c r="E8" s="4" t="s">
        <v>383</v>
      </c>
      <c r="F8" s="4" t="s">
        <v>606</v>
      </c>
      <c r="G8" s="4" t="s">
        <v>607</v>
      </c>
    </row>
  </sheetData>
  <mergeCells count="2">
    <mergeCell ref="A1:G1"/>
    <mergeCell ref="A2:G2"/>
  </mergeCells>
  <conditionalFormatting sqref="G5:G8">
    <cfRule type="expression" dxfId="2" priority="1">
      <formula>OR(ISNUMBER(SEARCH("VALIDATED",G5)),ISNUMBER(SEARCH("RESOLVED",G5)),ISNUMBER(SEARCH("PASS",G5)))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8"/>
  <sheetViews>
    <sheetView workbookViewId="0"/>
  </sheetViews>
  <sheetFormatPr baseColWidth="10" defaultColWidth="9" defaultRowHeight="14.25"/>
  <cols>
    <col min="1" max="1" width="12" customWidth="1"/>
    <col min="2" max="2" width="24" customWidth="1"/>
    <col min="3" max="4" width="46" customWidth="1"/>
    <col min="5" max="5" width="42" customWidth="1"/>
    <col min="6" max="6" width="24" customWidth="1"/>
  </cols>
  <sheetData>
    <row r="1" spans="1:6" ht="24" customHeight="1">
      <c r="A1" s="12" t="s">
        <v>608</v>
      </c>
      <c r="B1" s="12"/>
      <c r="C1" s="12"/>
      <c r="D1" s="12"/>
      <c r="E1" s="12"/>
      <c r="F1" s="12"/>
    </row>
    <row r="2" spans="1:6" ht="20.100000000000001" customHeight="1">
      <c r="A2" s="13" t="s">
        <v>609</v>
      </c>
      <c r="B2" s="13"/>
      <c r="C2" s="13"/>
      <c r="D2" s="13"/>
      <c r="E2" s="13"/>
      <c r="F2" s="13"/>
    </row>
    <row r="3" spans="1:6">
      <c r="A3" s="4"/>
      <c r="B3" s="4"/>
      <c r="C3" s="4"/>
      <c r="D3" s="4"/>
      <c r="E3" s="4"/>
      <c r="F3" s="4"/>
    </row>
    <row r="4" spans="1:6" ht="30" customHeight="1">
      <c r="A4" s="5" t="s">
        <v>176</v>
      </c>
      <c r="B4" s="5" t="s">
        <v>610</v>
      </c>
      <c r="C4" s="5" t="s">
        <v>611</v>
      </c>
      <c r="D4" s="5" t="s">
        <v>612</v>
      </c>
      <c r="E4" s="5" t="s">
        <v>613</v>
      </c>
      <c r="F4" s="5" t="s">
        <v>182</v>
      </c>
    </row>
    <row r="5" spans="1:6" ht="36">
      <c r="A5" s="4" t="s">
        <v>614</v>
      </c>
      <c r="B5" s="4" t="s">
        <v>615</v>
      </c>
      <c r="C5" s="4" t="s">
        <v>616</v>
      </c>
      <c r="D5" s="4" t="s">
        <v>617</v>
      </c>
      <c r="E5" s="4" t="s">
        <v>618</v>
      </c>
      <c r="F5" s="4" t="s">
        <v>92</v>
      </c>
    </row>
    <row r="6" spans="1:6" ht="24">
      <c r="A6" s="4" t="s">
        <v>619</v>
      </c>
      <c r="B6" s="4" t="s">
        <v>620</v>
      </c>
      <c r="C6" s="4" t="s">
        <v>621</v>
      </c>
      <c r="D6" s="4" t="s">
        <v>622</v>
      </c>
      <c r="E6" s="4" t="s">
        <v>623</v>
      </c>
      <c r="F6" s="4" t="s">
        <v>92</v>
      </c>
    </row>
    <row r="7" spans="1:6" ht="24">
      <c r="A7" s="4" t="s">
        <v>624</v>
      </c>
      <c r="B7" s="4" t="s">
        <v>625</v>
      </c>
      <c r="C7" s="4" t="s">
        <v>626</v>
      </c>
      <c r="D7" s="4" t="s">
        <v>627</v>
      </c>
      <c r="E7" s="4" t="s">
        <v>628</v>
      </c>
      <c r="F7" s="4" t="s">
        <v>33</v>
      </c>
    </row>
    <row r="8" spans="1:6" ht="24">
      <c r="A8" s="4" t="s">
        <v>629</v>
      </c>
      <c r="B8" s="4" t="s">
        <v>630</v>
      </c>
      <c r="C8" s="4" t="s">
        <v>631</v>
      </c>
      <c r="D8" s="4" t="s">
        <v>632</v>
      </c>
      <c r="E8" s="4" t="s">
        <v>633</v>
      </c>
      <c r="F8" s="4" t="s">
        <v>92</v>
      </c>
    </row>
  </sheetData>
  <mergeCells count="2">
    <mergeCell ref="A1:F1"/>
    <mergeCell ref="A2:F2"/>
  </mergeCells>
  <conditionalFormatting sqref="F5:F8">
    <cfRule type="expression" dxfId="1" priority="1">
      <formula>OR(ISNUMBER(SEARCH("VALIDATED",F5)),ISNUMBER(SEARCH("RESOLVED",F5)),ISNUMBER(SEARCH("PASS",F5)))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"/>
  <sheetViews>
    <sheetView workbookViewId="0"/>
  </sheetViews>
  <sheetFormatPr baseColWidth="10" defaultColWidth="9" defaultRowHeight="14.25"/>
  <cols>
    <col min="1" max="1" width="12" customWidth="1"/>
    <col min="2" max="2" width="38" customWidth="1"/>
    <col min="3" max="3" width="34" customWidth="1"/>
    <col min="4" max="4" width="28" customWidth="1"/>
    <col min="5" max="5" width="20" customWidth="1"/>
    <col min="6" max="6" width="34" customWidth="1"/>
  </cols>
  <sheetData>
    <row r="1" spans="1:6" ht="24" customHeight="1">
      <c r="A1" s="12" t="s">
        <v>634</v>
      </c>
      <c r="B1" s="12"/>
      <c r="C1" s="12"/>
      <c r="D1" s="12"/>
      <c r="E1" s="12"/>
      <c r="F1" s="12"/>
    </row>
    <row r="2" spans="1:6" ht="20.100000000000001" customHeight="1">
      <c r="A2" s="13" t="s">
        <v>635</v>
      </c>
      <c r="B2" s="13"/>
      <c r="C2" s="13"/>
      <c r="D2" s="13"/>
      <c r="E2" s="13"/>
      <c r="F2" s="13"/>
    </row>
    <row r="3" spans="1:6">
      <c r="A3" s="4"/>
      <c r="B3" s="4"/>
      <c r="C3" s="4"/>
      <c r="D3" s="4"/>
      <c r="E3" s="4"/>
      <c r="F3" s="4"/>
    </row>
    <row r="4" spans="1:6" ht="30" customHeight="1">
      <c r="A4" s="5" t="s">
        <v>176</v>
      </c>
      <c r="B4" s="5" t="s">
        <v>636</v>
      </c>
      <c r="C4" s="5" t="s">
        <v>637</v>
      </c>
      <c r="D4" s="5" t="s">
        <v>638</v>
      </c>
      <c r="E4" s="5" t="s">
        <v>639</v>
      </c>
      <c r="F4" s="5" t="s">
        <v>640</v>
      </c>
    </row>
    <row r="5" spans="1:6">
      <c r="A5" s="4" t="s">
        <v>641</v>
      </c>
      <c r="B5" s="4" t="s">
        <v>642</v>
      </c>
      <c r="C5" s="4" t="s">
        <v>643</v>
      </c>
      <c r="D5" s="4" t="s">
        <v>644</v>
      </c>
      <c r="E5" s="4" t="s">
        <v>645</v>
      </c>
      <c r="F5" s="4" t="s">
        <v>646</v>
      </c>
    </row>
    <row r="6" spans="1:6">
      <c r="A6" s="4" t="s">
        <v>647</v>
      </c>
      <c r="B6" s="4" t="s">
        <v>648</v>
      </c>
      <c r="C6" s="4" t="s">
        <v>649</v>
      </c>
      <c r="D6" s="4" t="s">
        <v>644</v>
      </c>
      <c r="E6" s="4" t="s">
        <v>645</v>
      </c>
      <c r="F6" s="4" t="s">
        <v>646</v>
      </c>
    </row>
    <row r="7" spans="1:6">
      <c r="A7" s="4" t="s">
        <v>650</v>
      </c>
      <c r="B7" s="4" t="s">
        <v>651</v>
      </c>
      <c r="C7" s="4" t="s">
        <v>652</v>
      </c>
      <c r="D7" s="4" t="s">
        <v>644</v>
      </c>
      <c r="E7" s="4" t="s">
        <v>645</v>
      </c>
      <c r="F7" s="4" t="s">
        <v>646</v>
      </c>
    </row>
    <row r="8" spans="1:6" ht="24">
      <c r="A8" s="4" t="s">
        <v>653</v>
      </c>
      <c r="B8" s="4" t="s">
        <v>654</v>
      </c>
      <c r="C8" s="4" t="s">
        <v>655</v>
      </c>
      <c r="D8" s="4" t="s">
        <v>644</v>
      </c>
      <c r="E8" s="4" t="s">
        <v>645</v>
      </c>
      <c r="F8" s="4" t="s">
        <v>646</v>
      </c>
    </row>
    <row r="9" spans="1:6" ht="24">
      <c r="A9" s="4" t="s">
        <v>656</v>
      </c>
      <c r="B9" s="4" t="s">
        <v>657</v>
      </c>
      <c r="C9" s="4" t="s">
        <v>658</v>
      </c>
      <c r="D9" s="4" t="s">
        <v>644</v>
      </c>
      <c r="E9" s="4" t="s">
        <v>645</v>
      </c>
      <c r="F9" s="4" t="s">
        <v>646</v>
      </c>
    </row>
  </sheetData>
  <mergeCells count="2">
    <mergeCell ref="A1:F1"/>
    <mergeCell ref="A2:F2"/>
  </mergeCells>
  <conditionalFormatting sqref="E5:E9">
    <cfRule type="expression" dxfId="0" priority="1">
      <formula>OR(ISNUMBER(SEARCH("VALIDATED",E5)),ISNUMBER(SEARCH("RESOLVED",E5)),ISNUMBER(SEARCH("PASS",E5)))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Test Register</vt:lpstr>
      <vt:lpstr>Evidence Register</vt:lpstr>
      <vt:lpstr>Cross-Track Validation</vt:lpstr>
      <vt:lpstr>Week 8 Readiness</vt:lpstr>
      <vt:lpstr>Read Me</vt:lpstr>
      <vt:lpstr>Evidence Pack Index</vt:lpstr>
      <vt:lpstr>Calculation Evidence</vt:lpstr>
      <vt:lpstr>Dashboard Evidence</vt:lpstr>
      <vt:lpstr>Before-After Evidence</vt:lpstr>
      <vt:lpstr>GitHub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Nancy</dc:creator>
  <cp:lastModifiedBy>Nancy Lee YIMBERE</cp:lastModifiedBy>
  <dcterms:created xsi:type="dcterms:W3CDTF">2026-09-19T15:41:48Z</dcterms:created>
  <dcterms:modified xsi:type="dcterms:W3CDTF">2026-09-19T15:41:48Z</dcterms:modified>
</cp:coreProperties>
</file>